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ướng Dẫn Theo Nhu Cầu" sheetId="1" r:id="rId5"/>
    <sheet state="visible" name="Dataset Theo Nhu Cầu" sheetId="2" r:id="rId6"/>
    <sheet state="visible" name="Thống Kê" sheetId="3" r:id="rId7"/>
  </sheets>
  <definedNames>
    <definedName hidden="1" localSheetId="1" name="_xlnm._FilterDatabase">'Dataset Theo Nhu Cầu'!$A$4:$J$79</definedName>
  </definedNames>
  <calcPr/>
</workbook>
</file>

<file path=xl/sharedStrings.xml><?xml version="1.0" encoding="utf-8"?>
<sst xmlns="http://schemas.openxmlformats.org/spreadsheetml/2006/main" count="726" uniqueCount="533">
  <si>
    <t>THỢ LÀM MARKETING   ·   tholammkt.com   ·   TikTok @tholammkt</t>
  </si>
  <si>
    <t>HƯỚNG DẪN CHỌN HOOK THEO NHU CẦU CONTENT</t>
  </si>
  <si>
    <t>7 nhóm nhu cầu — chọn đúng mục tiêu, chọn đúng hook</t>
  </si>
  <si>
    <t>1. Gây Tò Mò &amp; Bí Mật  (13 hook)</t>
  </si>
  <si>
    <t>Khiến người xem PHẢI xem tiếp vì sợ bỏ lỡ thông tin ẩn.</t>
  </si>
  <si>
    <t>Khi muốn tăng Watch Time, Completion Rate và lượt Lưu.</t>
  </si>
  <si>
    <t>Gatekeeping Secrets, Retention Loops</t>
  </si>
  <si>
    <t>2. Kích Tranh Luận  (8 hook)</t>
  </si>
  <si>
    <t>Đưa quan điểm trái chiều để kéo bình luận, tạo làn sóng tranh cãi.</t>
  </si>
  <si>
    <t>Khi muốn bùng nổ Comment, Share và lan truyền nhanh (Viral Velocity).</t>
  </si>
  <si>
    <t>Contrarian</t>
  </si>
  <si>
    <t>3. Chứng Minh Kết Quả  (13 hook)</t>
  </si>
  <si>
    <t>Khoe kết quả thật / giá trị gây sốc để tạo niềm tin và chuyển đổi.</t>
  </si>
  <si>
    <t>Khi muốn tăng Conversion, Click-Through và bán hàng.</t>
  </si>
  <si>
    <t>Outcome Showcase, Value Shock</t>
  </si>
  <si>
    <t>4. Giáo Dục Chuyên Môn  (14 hook)</t>
  </si>
  <si>
    <t>Dạy kiến thức, mẹo nhanh để định vị chuyên gia và được lưu lại.</t>
  </si>
  <si>
    <t>Khi muốn tăng Saves, xây uy tín và nuôi dưỡng tệp khán giả.</t>
  </si>
  <si>
    <t>Expert Explainer, Lazy Hacks</t>
  </si>
  <si>
    <t>5. Đánh Vào Nỗi Sợ  (7 hook)</t>
  </si>
  <si>
    <t>Kích hoạt nỗi sợ mất mát để dừng lướt và tạo cảm giác khẩn cấp.</t>
  </si>
  <si>
    <t>Khi muốn Stop-Scroll tức thì và thúc đẩy hành động ngay.</t>
  </si>
  <si>
    <t>Loss Aversion</t>
  </si>
  <si>
    <t>6. Kể Chuyện &amp; Đồng Cảm  (13 hook)</t>
  </si>
  <si>
    <t>Dùng khung kể chuyện và thú nhận cá nhân để gắn kết cảm xúc.</t>
  </si>
  <si>
    <t>Khi muốn tăng Watch Time và xây dựng kết nối lâu dài với khán giả.</t>
  </si>
  <si>
    <t>Storytelling Framework, Confessions</t>
  </si>
  <si>
    <t>7. Lọc Đúng Khách Hàng  (7 hook)</t>
  </si>
  <si>
    <t>Gọi đích danh nhóm khán giả mục tiêu để thu hút khách chất lượng.</t>
  </si>
  <si>
    <t>Khi muốn lọc Qualified Leads và tăng Conversion đúng đối tượng.</t>
  </si>
  <si>
    <t>Audience Filtering</t>
  </si>
  <si>
    <t>THỢ LÀM MARKETING  ·  75 Viral Hooks phân theo Nhu Cầu  ·  tholammkt.com  ·  @tholammkt</t>
  </si>
  <si>
    <t>Chủ Đề</t>
  </si>
  <si>
    <t>Hook_ID</t>
  </si>
  <si>
    <t>Category</t>
  </si>
  <si>
    <t>Template (Tiếng Anh)</t>
  </si>
  <si>
    <t>Template (Tiếng Việt Bản Địa Hóa)</t>
  </si>
  <si>
    <t>Variables (Biến số)</t>
  </si>
  <si>
    <t>Psychological Trigger</t>
  </si>
  <si>
    <t>Visual Hook (Hành động thị giác)</t>
  </si>
  <si>
    <t>Target Metric</t>
  </si>
  <si>
    <t>Viral Score</t>
  </si>
  <si>
    <t>Gây Tò Mò &amp; Bí Mật</t>
  </si>
  <si>
    <t>H-46</t>
  </si>
  <si>
    <t>Retention Loops</t>
  </si>
  <si>
    <t>This video ends exactly how it starts.</t>
  </si>
  <si>
    <t>Video này sẽ kết thúc chính xác khớp từng miligiây với cách nó bắt đầu.</t>
  </si>
  <si>
    <t>None</t>
  </si>
  <si>
    <t>Tạo vòng lặp vô tận đánh lừa thời gian xem thuật toán (Looping)</t>
  </si>
  <si>
    <t>Hành động khớp tư thế kết thúc với tư thế mở đầu video</t>
  </si>
  <si>
    <t>Infinite Loop / Watch Time</t>
  </si>
  <si>
    <t>H-47</t>
  </si>
  <si>
    <t>Most people miss the hidden detail in the first 2 seconds of this clip.</t>
  </si>
  <si>
    <t>99% mọi người đều bỏ lỡ một chi tiết cực kỳ điên rồ ở ngay 2 giây đầu video này.</t>
  </si>
  <si>
    <t>Buộc người xem phải tua ngược video hoặc xem lại lần hai</t>
  </si>
  <si>
    <t>Lướt qua một bóng mờ hoặc text ẩn xuất hiện chớp nhoáng</t>
  </si>
  <si>
    <t>High Rewatch Rate</t>
  </si>
  <si>
    <t>H-48</t>
  </si>
  <si>
    <t>I'm going to prove to you that your brain is [action_or_state]. Watch this.</t>
  </si>
  <si>
    <t>Tôi sẽ chứng minh cho bạn thấy bộ não của bạn đang bị [action_or_state]. Nhìn kỹ nhé.</t>
  </si>
  <si>
    <t>action_or_state</t>
  </si>
  <si>
    <t>Thử nghiệm tâm lý ảo giác thị giác tại chỗ</t>
  </si>
  <si>
    <t>Giơ một tấm hình ảo ảnh quang học đập thẳng vào camera</t>
  </si>
  <si>
    <t>High Retention Rate</t>
  </si>
  <si>
    <t>H-49</t>
  </si>
  <si>
    <t>The real trick is hidden in the caption below.</t>
  </si>
  <si>
    <t>Bí mật thực sự nằm ở dòng chữ chạy trong phần mô tả bên dưới video.</t>
  </si>
  <si>
    <t>Chuyển hướng mắt nhìn của người dùng rời video xuống caption để tính thời gian chạy ngầm</t>
  </si>
  <si>
    <t>Chỉ ngón tay xuống phía dưới cùng góc màn hình</t>
  </si>
  <si>
    <t>High Caption Reads</t>
  </si>
  <si>
    <t>H-50</t>
  </si>
  <si>
    <t>Don't blink during this video or you'll miss the entire point.</t>
  </si>
  <si>
    <t>Cấm chớp mắt dù chỉ một giây vì bạn sẽ bỏ lỡ toàn bộ mấu chốt.</t>
  </si>
  <si>
    <t>Tạo áp lực tập trung cao độ, đẩy nhịp video cực nhanh</t>
  </si>
  <si>
    <t>Đếm ngược 3, 2, 1 xuất hiện các hình ảnh cắt cảnh giật cục chớp nhoáng</t>
  </si>
  <si>
    <t>High Completion Rate</t>
  </si>
  <si>
    <t>H-51</t>
  </si>
  <si>
    <t>If you watch this clip until the very last frame, your mind will be blown.</t>
  </si>
  <si>
    <t>Nếu bạn kiên nhẫn xem đến đúng frame cuối cùng, đầu bạn sẽ nổ tung.</t>
  </si>
  <si>
    <t>Sự tò mò về cái kết bất ngờ (Plot twist)</t>
  </si>
  <si>
    <t>Cầm một chiếc hộp chuẩn bị mở ra nhưng kéo dài thời gian lật mở</t>
  </si>
  <si>
    <t>H-52</t>
  </si>
  <si>
    <t>I bet you [amount_of_money] you can't guess what happens next.</t>
  </si>
  <si>
    <t>Cá cược [amount_of_money] là bạn không bao giờ đoán được điều gì sắp xảy ra tiếp theo.</t>
  </si>
  <si>
    <t>amount_of_money</t>
  </si>
  <si>
    <t>Thách thức cá cược, kích thích bản năng chiến thắng</t>
  </si>
  <si>
    <t>Dừng hình đột ngột ở một phân cảnh kịch tính trước khi nói tiếp</t>
  </si>
  <si>
    <t>High Comments &amp; Engagement</t>
  </si>
  <si>
    <t>H-59</t>
  </si>
  <si>
    <t>Gatekeeping Secrets</t>
  </si>
  <si>
    <t>I'm probably going to get banned for revealing this [source_or_method].</t>
  </si>
  <si>
    <t>Có thể tôi sẽ bị bay màu kênh vì dám công khai [source_or_method] bí mật này.</t>
  </si>
  <si>
    <t>source_or_method</t>
  </si>
  <si>
    <t>Tâm lý thích xem đồ cấm, thông tin bị rò rỉ</t>
  </si>
  <si>
    <t>Nhìn dáo dác xung quanh như sợ bị phát hiện</t>
  </si>
  <si>
    <t>High Shares &amp; Views</t>
  </si>
  <si>
    <t>H-60</t>
  </si>
  <si>
    <t>The secret supplier where all [niche_brands] buy their products.</t>
  </si>
  <si>
    <t>Đầu mối xưởng sỉ bí mật nơi mà tất cả các thương hiệu [niche_brands] nhập hàng.</t>
  </si>
  <si>
    <t>niche_brands</t>
  </si>
  <si>
    <t>Bóc trần nguồn gốc chuỗi cung ứng thương mại</t>
  </si>
  <si>
    <t>Cầm điện thoại hiển thị bản đồ định vị hoặc danh sách excel xưởng</t>
  </si>
  <si>
    <t>High Saves &amp; Comments</t>
  </si>
  <si>
    <t>H-61</t>
  </si>
  <si>
    <t>Stop searching for [topic] on Google. Use this secret database instead.</t>
  </si>
  <si>
    <t>Ngừng tìm kiếm vô vọng [topic] trên Google đi. Hãy dùng kho cơ sở dữ liệu ngầm này.</t>
  </si>
  <si>
    <t>topic</t>
  </si>
  <si>
    <t>Vượt mặt bộ máy tìm kiếm truyền thống bằng công cụ AI/Ngách</t>
  </si>
  <si>
    <t>Gõ phím tắt mở một ứng dụng có giao diện ma mị/phức tạp</t>
  </si>
  <si>
    <t>High Saves</t>
  </si>
  <si>
    <t>H-62</t>
  </si>
  <si>
    <t>My secret weapon for staying ahead of 99% of my competitors in [industry].</t>
  </si>
  <si>
    <t>Vũ khí tối thượng giúp tôi bứt tốc đi trước 99% đối thủ trong ngành [industry].</t>
  </si>
  <si>
    <t>industry</t>
  </si>
  <si>
    <t>Khao khát thống trị và đi tắt trong sự nghiệp</t>
  </si>
  <si>
    <t>Rút một chiếc USB hoặc ổ cứng cắm vào máy tính</t>
  </si>
  <si>
    <t>High Saves &amp; Shares</t>
  </si>
  <si>
    <t>H-63</t>
  </si>
  <si>
    <t>The 1% won't tell you this secret about [financial_asset].</t>
  </si>
  <si>
    <t>Giới siêu giàu 1% không bao giờ muốn bạn biết bí mật này về [financial_asset].</t>
  </si>
  <si>
    <t>financial_asset</t>
  </si>
  <si>
    <t>Tâm lý thuyết âm mưu, khoảng cách giai cấp giàu nghèo</t>
  </si>
  <si>
    <t>Chỉnh kính mắt, nhìn thẳng camera nói với giọng trầm ấm</t>
  </si>
  <si>
    <t>High Watch Time</t>
  </si>
  <si>
    <t>H-64</t>
  </si>
  <si>
    <t>I hacked my [daily_routine/system] using this underground tool.</t>
  </si>
  <si>
    <t>Tôi đã hack toàn bộ [daily_routine/system] của mình nhờ một công cụ ngầm này.</t>
  </si>
  <si>
    <t>daily_routine/system</t>
  </si>
  <si>
    <t>Tư duy tối ưu hóa cuộc sống bằng công nghệ khuất</t>
  </si>
  <si>
    <t>Giao diện code hoặc màn hình đen chạy chữ xanh lập lòe</t>
  </si>
  <si>
    <t>High Interactivity</t>
  </si>
  <si>
    <t>Kích Tranh Luận</t>
  </si>
  <si>
    <t>H-23</t>
  </si>
  <si>
    <t>Everyone says [common_advice]. It's completely wrong.</t>
  </si>
  <si>
    <t>Mọi người đều ra rả khuyên bạn nên [common_advice]. Nhưng điều đó hoàn toàn sai lầm.</t>
  </si>
  <si>
    <t>common_advice</t>
  </si>
  <si>
    <t>Gây sốc bằng cách phá vỡ định kiến số đông</t>
  </si>
  <si>
    <t>Lắc đầu dứt khoát kết hợp biểu cảm không đồng tình</t>
  </si>
  <si>
    <t>High Comments (Debate)</t>
  </si>
  <si>
    <t>H-24</t>
  </si>
  <si>
    <t>Stop doing [popular_activity]. Here is what actually works.</t>
  </si>
  <si>
    <t>Ngừng làm cái việc [popular_activity] đi. Đây mới là thứ thực sự ra tiền/hiệu quả.</t>
  </si>
  <si>
    <t>popular_activity</t>
  </si>
  <si>
    <t>Tạo xu hướng đối lập mạnh mẽ để khẳng định vị thế</t>
  </si>
  <si>
    <t>Dùng tay gạt phăng một đạo cụ đại diện trên bàn</t>
  </si>
  <si>
    <t>H-25</t>
  </si>
  <si>
    <t>Hot take: [controversial_opinion] is actually ruining your [desired_outcome].</t>
  </si>
  <si>
    <t>Góc nhìn thẳng: việc [controversial_opinion] thực chất đang hủy hoại [desired_outcome] của bạn.</t>
  </si>
  <si>
    <t>controversial_opinion, desired_outcome</t>
  </si>
  <si>
    <t>Kích hoạt tranh luận từ hai luồng dư luận trái chiều</t>
  </si>
  <si>
    <t>Nhìn thẳng, nhếch mép nhẹ tạo sự tự tin tuyệt đối</t>
  </si>
  <si>
    <t>Viral Velocity</t>
  </si>
  <si>
    <t>H-26</t>
  </si>
  <si>
    <t>I'm going to get a lot of hate for this, but [unpopular_truth].</t>
  </si>
  <si>
    <t>Tôi biết nói ra cái này sẽ nhận cả rổ gạch đá, nhưng sự thật là [unpopular_truth].</t>
  </si>
  <si>
    <t>unpopular_truth</t>
  </si>
  <si>
    <t>Tâm lý tò mò sự thật trần trụi, tính can đảm</t>
  </si>
  <si>
    <t>Thở dài, ngồi xuống chỉnh góc camera thật gần cận cảnh</t>
  </si>
  <si>
    <t>High Engagement</t>
  </si>
  <si>
    <t>H-27</t>
  </si>
  <si>
    <t>Most people fail at [goal] because of this one toxic belief.</t>
  </si>
  <si>
    <t>90% mọi người thất bại khi cố [goal] chỉ vì duy nhất một tư duy độc hại này.</t>
  </si>
  <si>
    <t>goal</t>
  </si>
  <si>
    <t>Giải mã thất bại hệ thống, đánh trúng điểm đau</t>
  </si>
  <si>
    <t>Vạch một chữ X thật to lên màn hình điện thoại/bảng</t>
  </si>
  <si>
    <t>H-28</t>
  </si>
  <si>
    <t>You don't need a [expensive_resource] to achieve [result]. Here is proof.</t>
  </si>
  <si>
    <t>Bạn hoàn toàn không cần một [expensive_resource] đắt đỏ để đạt được [result]. Đây là bằng chứng.</t>
  </si>
  <si>
    <t>expensive_resource, result</t>
  </si>
  <si>
    <t>Phá bỏ rào cản chi phí, tạo hy vọng cho số đông</t>
  </si>
  <si>
    <t>Cầm một thiết bị rẻ tiền cũ kỹ lên quay cận cảnh</t>
  </si>
  <si>
    <t>High Shares &amp; Saves</t>
  </si>
  <si>
    <t>H-29</t>
  </si>
  <si>
    <t>The [industry_name] industry has gaslit you into believing this lie.</t>
  </si>
  <si>
    <t>Cả cái ngành [industry_name] đang chung tay lừa dối để bạn tin vào điều nhảm nhí này.</t>
  </si>
  <si>
    <t>industry_name</t>
  </si>
  <si>
    <t>Tấn công vào một hệ thống/ngành lớn để bảo vệ người xem</t>
  </si>
  <si>
    <t>Làm hành động tháo kính mắt hoặc cười khẩy khinh bỉ</t>
  </si>
  <si>
    <t>High Comments &amp; Saves</t>
  </si>
  <si>
    <t>H-30</t>
  </si>
  <si>
    <t>[Famous_Method] is a scam. Do this instead.</t>
  </si>
  <si>
    <t>Phương pháp [Famous_Method] nổi tiếng thực chất là một cú lừa. Hãy làm cách này thay thế.</t>
  </si>
  <si>
    <t>Famous_Method</t>
  </si>
  <si>
    <t>Hạ bệ một tượng đài tư duy để đề xuất giải pháp mới</t>
  </si>
  <si>
    <t>Xé một trang giấy có vẽ sơ đồ phương pháp cũ</t>
  </si>
  <si>
    <t>High Interaction</t>
  </si>
  <si>
    <t>Chứng Minh Kết Quả</t>
  </si>
  <si>
    <t>H-01</t>
  </si>
  <si>
    <t>Outcome Showcase</t>
  </si>
  <si>
    <t>This [tool_or_product] just edited an entire week of [content_type] in [time_duration].</t>
  </si>
  <si>
    <t>Công cụ [tool_or_product] này vừa xử lý xong toàn bộ [content_type] của cả tuần chỉ trong [time_duration].</t>
  </si>
  <si>
    <t>tool_or_product, content_type, time_duration</t>
  </si>
  <si>
    <t>Khao khát hiệu suất, kết quả nhanh tức thì</t>
  </si>
  <si>
    <t>Hiển thị màn hình kết quả trước và sau tăng tốc cực nhanh</t>
  </si>
  <si>
    <t>High Saves &amp; Views</t>
  </si>
  <si>
    <t>H-02</t>
  </si>
  <si>
    <t>Watch this [low_price] item transform a [high_value_space].</t>
  </si>
  <si>
    <t>Xem đúng món đồ giá chỉ [low_price] này biến hình cho cả một [high_value_space] sang xịn mịn.</t>
  </si>
  <si>
    <t>low_price, high_value_space</t>
  </si>
  <si>
    <t>Hiệu ứng tương phản cực đại (Contrast Effect)</t>
  </si>
  <si>
    <t>Cầm món đồ nhỏ ném vào không gian -&gt; Đổi bối cảnh lập tức</t>
  </si>
  <si>
    <t>H-03</t>
  </si>
  <si>
    <t>I made [revenue_amount] from this one single [asset_or_tool].</t>
  </si>
  <si>
    <t>Tôi đã kiếm được [revenue_amount] doanh thu từ đúng một [asset_or_tool] duy nhất này.</t>
  </si>
  <si>
    <t>revenue_amount, asset_or_tool</t>
  </si>
  <si>
    <t>Bằng chứng tài chính thực tế (Social Proof)</t>
  </si>
  <si>
    <t>Đập tay vào điện thoại hiển thị biểu đồ sọc tăng trưởng doanh thu</t>
  </si>
  <si>
    <t>High Click-Through</t>
  </si>
  <si>
    <t>H-04</t>
  </si>
  <si>
    <t>Before and after using [product_name] for [number_of_days] days.</t>
  </si>
  <si>
    <t>Đây là thay đổi trước và sau khi tôi dùng thử [product_name] liên tục trong [number_of_days] ngày.</t>
  </si>
  <si>
    <t>product_name, number_of_days</t>
  </si>
  <si>
    <t>Sự tò mò về tiến trình đổi thay cơ thể/vật chất</t>
  </si>
  <si>
    <t>Chia đôi màn hình trái (xấu) phải (đẹp) chạy song song</t>
  </si>
  <si>
    <t>H-05</t>
  </si>
  <si>
    <t>I tested every [product_category] so you don't have to: here is the winner.</t>
  </si>
  <si>
    <t>Tôi đã tự bỏ tiền test sạch mọi [product_category] để bạn không phí tiền: và đây là vị vua.</t>
  </si>
  <si>
    <t>product_category</t>
  </si>
  <si>
    <t>Tiết kiệm thời gian và rủi ro mất tiền cho người xem</t>
  </si>
  <si>
    <t>Xếp một loạt 5-7 sản phẩm lên bàn, gạt phăng những cái tệ</t>
  </si>
  <si>
    <t>H-06</t>
  </si>
  <si>
    <t>This is what happens when you combine [ingredient_1] with [ingredient_2].</t>
  </si>
  <si>
    <t>Đây là kết quả chấn động khi bạn kết hợp [ingredient_1] chung với [ingredient_2].</t>
  </si>
  <si>
    <t>ingredient_1, ingredient_2</t>
  </si>
  <si>
    <t>Hiệu ứng tò mò phản ứng hóa học/kết hợp</t>
  </si>
  <si>
    <t>Đổ hai dung dịch hoặc ghép hai vật thể vào nhau</t>
  </si>
  <si>
    <t>H-07</t>
  </si>
  <si>
    <t>I stopped using [popular_product] and replaced it with this for [time_period].</t>
  </si>
  <si>
    <t>Tôi đã vứt bỏ [popular_product] và thay thế hoàn toàn bằng thứ này suốt [time_period] qua.</t>
  </si>
  <si>
    <t>popular_product, time_period</t>
  </si>
  <si>
    <t>Tò mò về sự thay thế tốt hơn phương án cũ</t>
  </si>
  <si>
    <t>Cầm sản phẩm cũ ném thẳng vào sọt rác</t>
  </si>
  <si>
    <t>High Conversion</t>
  </si>
  <si>
    <t>H-53</t>
  </si>
  <si>
    <t>Value Shock</t>
  </si>
  <si>
    <t>This [product] looks like it costs [high_price], but it's only [low_price].</t>
  </si>
  <si>
    <t>Món [product] này trông như có giá [high_price] củ, nhưng thực chất chỉ tốn [low_price] nghìn.</t>
  </si>
  <si>
    <t>product, high_price, low_price</t>
  </si>
  <si>
    <t>Định giá cao cấp giả lập, số lượng tiền tiết kiệm khổng lồ</t>
  </si>
  <si>
    <t>Cận cảnh chất liệu bóng bẩy của sản phẩm rồi giơ tag giá rẻ</t>
  </si>
  <si>
    <t>High Conversions</t>
  </si>
  <si>
    <t>H-54</t>
  </si>
  <si>
    <t>Stop paying for [expensive_software]. Use this free alternative instead.</t>
  </si>
  <si>
    <t>Ngừng cúng tiền cho [expensive_software] đi. Đây là phương án thay thế miễn phí 100%.</t>
  </si>
  <si>
    <t>expensive_software</t>
  </si>
  <si>
    <t>Cắt giảm chi phí phần mềm/công cụ đắt đỏ</t>
  </si>
  <si>
    <t>Gõ lệnh trên một trang web có nút bấm 'Download Free'</t>
  </si>
  <si>
    <t>H-55</t>
  </si>
  <si>
    <t>I bought the most expensive [product_type] on Amazon and compared it to the cheapest.</t>
  </si>
  <si>
    <t>Tôi đã gom món [product_type] đắt nhất hành tinh về để solo với món rẻ tiền nhất.</t>
  </si>
  <si>
    <t>product_type</t>
  </si>
  <si>
    <t>Tò mò về khoảng cách chất lượng cực đoan</t>
  </si>
  <si>
    <t>Đặt hai hộp sản phẩm khổng lồ và tí hon kế bên nhau để đập hộp</t>
  </si>
  <si>
    <t>High Views &amp; Watch Time</t>
  </si>
  <si>
    <t>H-56</t>
  </si>
  <si>
    <t>3 premium features you are getting for completely free inside [tool_name].</t>
  </si>
  <si>
    <t>3 tính năng vip pro mà bạn đang được dùng hoàn toàn miễn phí bên trong [tool_name].</t>
  </si>
  <si>
    <t>tool_name</t>
  </si>
  <si>
    <t>Khai thác giá trị hời từ sản phẩm quen thuộc</t>
  </si>
  <si>
    <t>Di chuột click mở khóa tính năng cao cấp trên giao diện</t>
  </si>
  <si>
    <t>H-57</t>
  </si>
  <si>
    <t>The cheapest way to get a luxury [experience_or_item] without going broke.</t>
  </si>
  <si>
    <t>Cách rẻ nhất để tận hưởng một [experience_or_item] sang chảnh mà không lo ví lủng lỗ.</t>
  </si>
  <si>
    <t>experience_or_item</t>
  </si>
  <si>
    <t>Khát vọng lối sống cao cấp với chi phí tối thiểu</t>
  </si>
  <si>
    <t>Quay góc rộng một bối cảnh sang trọng, view triệu đô</t>
  </si>
  <si>
    <t>High Shares</t>
  </si>
  <si>
    <t>H-58</t>
  </si>
  <si>
    <t>This hidden website allows you to download [valuable_assets] for $0.</t>
  </si>
  <si>
    <t>Trang web ẩn này cho phép bạn tải toàn bộ [valuable_assets] bản quyền với giá 0 đồng.</t>
  </si>
  <si>
    <t>valuable_assets</t>
  </si>
  <si>
    <t>Khao khát sở hữu tài nguyên lậu/bản quyền miễn phí</t>
  </si>
  <si>
    <t>Quay màn hình máy tính hiển thị nút 'Download' chạy phần trăm</t>
  </si>
  <si>
    <t>Giáo Dục Chuyên Môn</t>
  </si>
  <si>
    <t>H-08</t>
  </si>
  <si>
    <t>Expert Explainer</t>
  </si>
  <si>
    <t>Nobody is talking about this [hidden_feature], but it changes everything.</t>
  </si>
  <si>
    <t>Không một ai thèm nói về [hidden_feature] này, nhưng nó đang thay đổi hoàn toàn cuộc chơi.</t>
  </si>
  <si>
    <t>hidden_feature</t>
  </si>
  <si>
    <t>Hội chứng sợ bỏ lỡ cơ hội ngầm (FOMO)</t>
  </si>
  <si>
    <t>Cận cảnh mắt nhìn nghiêm túc, nói nhỏ kiểu bí mật vào mic</t>
  </si>
  <si>
    <t>H-09</t>
  </si>
  <si>
    <t>I wish someone told me this before I started [action_or_career].</t>
  </si>
  <si>
    <t>Ước gì có ai đó tát tỉnh và nói cho tôi điều này trước khi tôi lao vào [action_or_career].</t>
  </si>
  <si>
    <t>action_or_career</t>
  </si>
  <si>
    <t>Đồng cảm sâu sắc, tránh tổn thất (Loss Avoidance)</t>
  </si>
  <si>
    <t>Tay ôm đầu hoặc làm động tác thở dài tiếc nuối</t>
  </si>
  <si>
    <t>H-10</t>
  </si>
  <si>
    <t>Three red flags your [strategy_or_system] is completely broken.</t>
  </si>
  <si>
    <t>3 dấu hiệu cảnh báo đỏ cho thấy [strategy_or_system] của bạn đang chuẩn bị toang thảm hại.</t>
  </si>
  <si>
    <t>strategy_or_system</t>
  </si>
  <si>
    <t>Đánh vào sự bất an ngầm và nhu cầu tự kiểm tra</t>
  </si>
  <si>
    <t>Giơ 3 ngón tay đập mạnh theo nhịp đếm</t>
  </si>
  <si>
    <t>H-11</t>
  </si>
  <si>
    <t>What nobody tells beginners about [niche_topic].</t>
  </si>
  <si>
    <t>Điều mà không một chuyên gia nào dám nói thẳng cho người mới bắt đầu về [niche_topic].</t>
  </si>
  <si>
    <t>niche_topic</t>
  </si>
  <si>
    <t>Khai phá góc khuất, xây dựng uy tín chuyên gia biệt lập</t>
  </si>
  <si>
    <t>Viết một từ khóa lên bảng trắng hoặc chỉ tay vào text màn hình</t>
  </si>
  <si>
    <t>H-12</t>
  </si>
  <si>
    <t>Here is a weird observation about how [phenomenon] actually works.</t>
  </si>
  <si>
    <t>Đây là một quan sát cực kỳ kỳ lạ về cách mà [phenomenon] thực sự vận hành sau lưng bạn.</t>
  </si>
  <si>
    <t>phenomenon</t>
  </si>
  <si>
    <t>Kích thích tư duy phản biện sâu sắc, hiếu kỳ</t>
  </si>
  <si>
    <t>Vừa đi bộ vừa nói tự nhiên, hướng camera từ dưới lên tạo thế</t>
  </si>
  <si>
    <t>High Comments</t>
  </si>
  <si>
    <t>H-13</t>
  </si>
  <si>
    <t>The math behind how [action] can realistically make you [outcome].</t>
  </si>
  <si>
    <t>Phép toán thực tế chứng minh việc [action] sẽ giúp bạn đạt [outcome] như thế nào.</t>
  </si>
  <si>
    <t>action, outcome</t>
  </si>
  <si>
    <t>Tư duy logic, loại bỏ cảm giác viển vông</t>
  </si>
  <si>
    <t>Viết các con số công thức tính toán rất nhanh lên iPad/bảng</t>
  </si>
  <si>
    <t>H-14</t>
  </si>
  <si>
    <t>Behind the scenes of how a [profession] actually spends their day.</t>
  </si>
  <si>
    <t>Hậu trường trần trụi về cách một [profession] thực sự sinh tồn qua một ngày làm việc.</t>
  </si>
  <si>
    <t>profession</t>
  </si>
  <si>
    <t>Tò mò về lối sống đời thực của nhóm người cụ thể</t>
  </si>
  <si>
    <t>Góc quay POV từ sáng sớm khi vừa bật dậy tắt báo thức</t>
  </si>
  <si>
    <t>H-15</t>
  </si>
  <si>
    <t>The psychological trick [brand] uses to make you spend more money.</t>
  </si>
  <si>
    <t>Chiêu trò thao túng tâm lý mà [brand] áp dụng để móc túi bạn nhiều tiền hơn.</t>
  </si>
  <si>
    <t>brand</t>
  </si>
  <si>
    <t>Giải mã bẫy tiêu dùng, kích hoạt trạng thái đề phòng</t>
  </si>
  <si>
    <t>Cầm hóa đơn hoặc sản phẩm của thương hiệu lớn chỉ tay vào logo</t>
  </si>
  <si>
    <t>H-70</t>
  </si>
  <si>
    <t>Lazy Hacks</t>
  </si>
  <si>
    <t>The laziest way to achieve [desired_outcome] in [year].</t>
  </si>
  <si>
    <t>Cách lười nhất để đạt được [desired_outcome] thành công rực rỡ trong năm [year].</t>
  </si>
  <si>
    <t>desired_outcome, year</t>
  </si>
  <si>
    <t>Tâm lý thích đường tắt, ngại lao động nặng nhọc của con người</t>
  </si>
  <si>
    <t>Nằm dài trên sofa lướt ipad bằng một ngón tay</t>
  </si>
  <si>
    <t>H-71</t>
  </si>
  <si>
    <t>How to automate 10 hours of [boring_task] in less than 60 seconds.</t>
  </si>
  <si>
    <t>Cách biến 10 tiếng cày cuốc [boring_task] chán ngắt thành một cú click chuột 60 giây.</t>
  </si>
  <si>
    <t>boring_task</t>
  </si>
  <si>
    <t>Giải phóng sức lao động chân tay bằng tự động hóa</t>
  </si>
  <si>
    <t>Ngả lưng ra ghế, đan hai tay sau đầu mỉm cười</t>
  </si>
  <si>
    <t>H-72</t>
  </si>
  <si>
    <t>If you are too lazy to [action], just use this prompt.</t>
  </si>
  <si>
    <t>Nếu bạn quá lười để tự ngồi [action], hãy copy đè đoạn prompt này là xong.</t>
  </si>
  <si>
    <t>action</t>
  </si>
  <si>
    <t>Mì ăn liền, giải pháp đóng gói sẵn</t>
  </si>
  <si>
    <t>Quay cận cảnh dòng chữ Prompt chữ trắng nền đen copy-paste</t>
  </si>
  <si>
    <t>H-73</t>
  </si>
  <si>
    <t>You don't need discipline. You just need this [habit_or_system].</t>
  </si>
  <si>
    <t>Bạn chả cần kỷ luật thép làm gì cả. Bạn chỉ cần đúng [habit_or_system] này thôi.</t>
  </si>
  <si>
    <t>habit_or_system</t>
  </si>
  <si>
    <t>Phá vỡ định kiến về sự nỗ lực, đơn giản hóa lối sống</t>
  </si>
  <si>
    <t>Đập vỡ một chiếc đồng hồ báo thức hoặc gạch bỏ chữ 'Discipline'</t>
  </si>
  <si>
    <t>H-74</t>
  </si>
  <si>
    <t>How to study/work for 8 hours in just 2 hours with this [technique].</t>
  </si>
  <si>
    <t>Mẹo học và cày việc 8 tiếng gói gọn trong đúng 2 tiếng nhờ [technique] này.</t>
  </si>
  <si>
    <t>technique</t>
  </si>
  <si>
    <t>Tối ưu hóa năng suất đỉnh cao cực đoan</t>
  </si>
  <si>
    <t>Bật chế độ Do Not Disturb trên điện thoại quăng lên giường</t>
  </si>
  <si>
    <t>H-75</t>
  </si>
  <si>
    <t>The 'lazy millionaire' framework nobody is teaching you.</t>
  </si>
  <si>
    <t>Khung tư duy 'Triệu phú lười biếng' mà không một trường học nào dạy bạn.</t>
  </si>
  <si>
    <t>Sự hấp dẫn tuyệt đối của danh hiệu giàu có không tốn sức</t>
  </si>
  <si>
    <t>Mở một trang tài liệu Notion có cấu trúc sơ đồ khối tinh gọn</t>
  </si>
  <si>
    <t>Đánh Vào Nỗi Sợ</t>
  </si>
  <si>
    <t>H-16</t>
  </si>
  <si>
    <t>If you are still doing [bad_habit], stop right now.</t>
  </si>
  <si>
    <t>Nếu bạn vẫn còn đang duy trì thói quen [bad_habit], hãy dừng lại ngay lập tức.</t>
  </si>
  <si>
    <t>bad_habit</t>
  </si>
  <si>
    <t>Ngắt quãng mô thức tư duy sai lệch (Pattern Interrupt)</t>
  </si>
  <si>
    <t>Giơ lòng bàn tay ra hiệu DỪNG (Stop) sát ống kính camera</t>
  </si>
  <si>
    <t>Instant Stop-Scroll</t>
  </si>
  <si>
    <t>H-17</t>
  </si>
  <si>
    <t>This one mistake is costing you [money_or_views_or_time] every day.</t>
  </si>
  <si>
    <t>Đúng một sai lầm ngớ ngẩn này đang ngốn của bạn hàng triệu đồng/[money_or_views_or_time] mỗi ngày.</t>
  </si>
  <si>
    <t>money_or_views_or_time</t>
  </si>
  <si>
    <t>Nỗi sợ bị thâm hụt tài nguyên vô ích</t>
  </si>
  <si>
    <t>Cầm một sấp tiền hoặc đồng hồ chỉ tay thẳng vào</t>
  </si>
  <si>
    <t>High Retargeting</t>
  </si>
  <si>
    <t>H-18</t>
  </si>
  <si>
    <t>Don't buy [trending_product] until you watch this raw test.</t>
  </si>
  <si>
    <t>Đừng dại gì cúng tiền mua [trending_product] cho đến khi bạn xem hết video bóc trần này.</t>
  </si>
  <si>
    <t>trending_product</t>
  </si>
  <si>
    <t>Bảo vệ túi tiền người tiêu dùng, tạo kịch tính</t>
  </si>
  <si>
    <t>Cầm sản phẩm đập mạnh xuống bàn tạo tiếng động giật mình</t>
  </si>
  <si>
    <t>H-19</t>
  </si>
  <si>
    <t>This is burning your [resource_value] every single day without you knowing it.</t>
  </si>
  <si>
    <t>Thứ này đang âm thầm đốt sạch [resource_value] của bạn từng giây mà bạn không hề hay biết.</t>
  </si>
  <si>
    <t>resource_value</t>
  </si>
  <si>
    <t>Sợ hãi mối nguy hiểm vô hình</t>
  </si>
  <si>
    <t>Lấy bật lửa giả vờ đốt một mảnh giấy hoặc hiệu ứng khói</t>
  </si>
  <si>
    <t>H-20</t>
  </si>
  <si>
    <t>Your [skill_or_asset] is useless if you don't know this trick.</t>
  </si>
  <si>
    <t>Mọi [skill_or_asset] của bạn sẽ vứt vào sọt rác nếu bạn không biết mẹo ẩn này.</t>
  </si>
  <si>
    <t>skill_or_asset</t>
  </si>
  <si>
    <t>Hạ thấp cái tôi để kích thích sự tập trung phòng thủ</t>
  </si>
  <si>
    <t>Cầm một tờ giấy vò nát ném ra phía sau</t>
  </si>
  <si>
    <t>H-21</t>
  </si>
  <si>
    <t>If you don't fix your [problem] by next month, this will happen.</t>
  </si>
  <si>
    <t>Nếu bạn không xử lý dứt điểm [problem] trước tháng sau, đây là hậu quả thảm khốc.</t>
  </si>
  <si>
    <t>problem</t>
  </si>
  <si>
    <t>Hạn định thời gian tạo áp lực khẩn cấp (Urgency)</t>
  </si>
  <si>
    <t>Chỉ tay vào tờ lịch hoặc đồng hồ thông minh</t>
  </si>
  <si>
    <t>H-22</t>
  </si>
  <si>
    <t>Check your phone right now to see if you have this [setting/app] enabled.</t>
  </si>
  <si>
    <t>Mở điện thoại kiểm tra ngay lập tức xem bạn có đang bật [setting/app] này không.</t>
  </si>
  <si>
    <t>setting/app</t>
  </si>
  <si>
    <t>Hành động thực thi ngay tại chỗ (Immediate action)</t>
  </si>
  <si>
    <t>Giơ màn hình cài đặt điện thoại sát vào mắt camera</t>
  </si>
  <si>
    <t>Kể Chuyện &amp; Đồng Cảm</t>
  </si>
  <si>
    <t>H-38</t>
  </si>
  <si>
    <t>Storytelling Framework</t>
  </si>
  <si>
    <t>I tried [crazy_method] for 30 days, and it ruined my life.</t>
  </si>
  <si>
    <t>Tôi đã liều thử [crazy_method] trong suốt 30 ngày, và nó hoàn toàn làm đảo lộn cuộc sống của tôi.</t>
  </si>
  <si>
    <t>crazy_method</t>
  </si>
  <si>
    <t>Kể chuyện cực đoan, kích thích tò mò về hậu quả tệ hại</t>
  </si>
  <si>
    <t>Bối cảnh mệt mỏi hoặc một khung hình đầy hỗn độn lúc đầu</t>
  </si>
  <si>
    <t>H-39</t>
  </si>
  <si>
    <t>This is the exact blueprint I used to go from [point_a] to [point_b].</t>
  </si>
  <si>
    <t>Đây chính xác là tấm bản đồ tôi đã dùng để đi từ tay trắng [point_a] đến đạt được [point_b].</t>
  </si>
  <si>
    <t>point_a, point_b</t>
  </si>
  <si>
    <t>Hành trình người hùng (Hero's Journey), khao khát vươn lên</t>
  </si>
  <si>
    <t>Lật mở một file mindmap cực kỳ chi tiết trên màn hình máy tính</t>
  </si>
  <si>
    <t>H-40</t>
  </si>
  <si>
    <t>The secret reason why [famous_brand_or_person] always does [action].</t>
  </si>
  <si>
    <t>Lý do thầm kín đứng sau việc [famous_brand_or_person] luôn luôn làm hành động kỳ lạ [action].</t>
  </si>
  <si>
    <t>famous_brand_or_person, action</t>
  </si>
  <si>
    <t>Ký sinh danh tiếng thương hiệu lớn (Piggybacking)</t>
  </si>
  <si>
    <t>Chèn ảnh/video stock của người nổi tiếng đó ở góc màn hình</t>
  </si>
  <si>
    <t>High Views &amp; Comments</t>
  </si>
  <si>
    <t>H-41</t>
  </si>
  <si>
    <t>3 tools that feel illegal to know for [target_audience].</t>
  </si>
  <si>
    <t>3 công cụ cho cảm giác 'phạm luật' nếu lỡ biết đối với dân [target_audience].</t>
  </si>
  <si>
    <t>target_audience</t>
  </si>
  <si>
    <t>Tâm lý muốn đi đường tắt, khai phá tài nguyên cấm</t>
  </si>
  <si>
    <t>Mở tab ẩn danh trên trình duyệt gõ phím cộc cộc nhanh</t>
  </si>
  <si>
    <t>H-42</t>
  </si>
  <si>
    <t>The biggest lie you've been told about [common_industry_fact].</t>
  </si>
  <si>
    <t>Lời nói dối kinh điển nhất mà bạn từng bị nhồi nhét về [common_industry_fact].</t>
  </si>
  <si>
    <t>common_industry_fact</t>
  </si>
  <si>
    <t>Lột trần sự thật, tháo gỡ bong bóng lừa dối</t>
  </si>
  <si>
    <t>Dùng kéo cắt một sợi dây hoặc hành động đập vỡ cái gì đó nhỏ</t>
  </si>
  <si>
    <t>H-43</t>
  </si>
  <si>
    <t>How I automated 90% of my [business_task] using zero dollars.</t>
  </si>
  <si>
    <t>Cách tôi tự động hóa 90% khối lượng [business_task] của mình với chi phí đúng 0 đồng.</t>
  </si>
  <si>
    <t>business_task</t>
  </si>
  <si>
    <t>Tiết kiệm tối đa tối ưu hóa vận hành</t>
  </si>
  <si>
    <t>Gõ một dòng lệnh hoặc click chuột dứt khoát</t>
  </si>
  <si>
    <t>H-44</t>
  </si>
  <si>
    <t>I've reviewed [huge_number] accounts, and this is why you aren't growing.</t>
  </si>
  <si>
    <t>Tôi đã ngồi phân tích trực tiếp hơn [huge_number] tài khoản, và đây là lý do bạn mãi lẹt đẹt.</t>
  </si>
  <si>
    <t>huge_number</t>
  </si>
  <si>
    <t>Chứng thực uy tín thực chiến số lượng lớn</t>
  </si>
  <si>
    <t>Màn hình zoom hàng loạt ảnh avatar tài khoản lướt qua nhanh</t>
  </si>
  <si>
    <t>H-45</t>
  </si>
  <si>
    <t>Delete this [app_or_tool] immediately if you care about your [valuable_asset].</t>
  </si>
  <si>
    <t>Xóa ngay lập tức [app_or_tool] này nếu bạn còn chút trân trọng nào cho [valuable_asset] của mình.</t>
  </si>
  <si>
    <t>app_or_tool, valuable_asset</t>
  </si>
  <si>
    <t>Tạo ra một mối nguy khẩn cấp buộc phải xử lý ngay</t>
  </si>
  <si>
    <t>Giơ điện thoại ấn giữ icon app chuẩn bị ấn nút Xóa (Delete)</t>
  </si>
  <si>
    <t>H-65</t>
  </si>
  <si>
    <t>Confessions</t>
  </si>
  <si>
    <t>Confession: I lied about how I built my [business_or_asset].</t>
  </si>
  <si>
    <t>Thú nhận: Tôi đã từng nói dối về cách tôi gây dựng nên [business_or_asset] của mình.</t>
  </si>
  <si>
    <t>business_or_asset</t>
  </si>
  <si>
    <t>Tính dễ bị tổn thương, chân thực tuyệt đối (Vulnerability)</t>
  </si>
  <si>
    <t>Ngồi bệt dưới sàn nhà, cởi bỏ mic cài áo cầm tay nói chuyện</t>
  </si>
  <si>
    <t>H-66</t>
  </si>
  <si>
    <t>An ex-[profession] reveals the dark side of the [industry] industry.</t>
  </si>
  <si>
    <t>Một cựu [profession] đứng ra vạch trần góc khuất đen tối của ngành [industry].</t>
  </si>
  <si>
    <t>profession, industry</t>
  </si>
  <si>
    <t>Sự thật trần trụi từ người trong cuộc (Whistleblower)</t>
  </si>
  <si>
    <t>Đeo khẩu trang hoặc che mờ một phần khuôn mặt tạo sự kịch tính</t>
  </si>
  <si>
    <t>High Viral Velocity</t>
  </si>
  <si>
    <t>H-67</t>
  </si>
  <si>
    <t>The biggest regret I have after making [large_amount_of_money].</t>
  </si>
  <si>
    <t>Điều hối hận lớn nhất cuộc đời tôi sau khi kiếm được [large_amount_of_money] đầu tiên.</t>
  </si>
  <si>
    <t>large_amount_of_money</t>
  </si>
  <si>
    <t>Nghịch lý của sự giàu có, bài học cuộc sống</t>
  </si>
  <si>
    <t>Nhìn ra cửa sổ hoặc khoảng không gian trầm tư</t>
  </si>
  <si>
    <t>H-68</t>
  </si>
  <si>
    <t>Don't trust any influencer who tells you to buy [product_type].</t>
  </si>
  <si>
    <t>Đừng bao giờ tin lời mấy đứa Influencer khuyên bạn mua cái loại [product_type] này.</t>
  </si>
  <si>
    <t>Tấn công sự thiếu trung thực của thị trường, đứng về phía người xem</t>
  </si>
  <si>
    <t>Cầm một sản phẩm hot trend vứt thẳng xuống đất</t>
  </si>
  <si>
    <t>High Comments &amp; Shares</t>
  </si>
  <si>
    <t>H-69</t>
  </si>
  <si>
    <t>I worked at [famous_company] for [number] years. Here is why I quit.</t>
  </si>
  <si>
    <t>Tôi từng cày cuốc tại [famous_company] suốt [number] năm trời. Và đây là lý do tôi tháo chạy.</t>
  </si>
  <si>
    <t>famous_company, number</t>
  </si>
  <si>
    <t>Tò mò về thâm cung bí sử của tập đoàn lớn</t>
  </si>
  <si>
    <t>Giơ thẻ nhân viên cũ hoặc email thông báo nghỉ việc trước ống kính</t>
  </si>
  <si>
    <t>Lọc Đúng Khách Hàng</t>
  </si>
  <si>
    <t>H-31</t>
  </si>
  <si>
    <t>Stop scrolling if you are trying to [desired_outcome].</t>
  </si>
  <si>
    <t>Dừng lướt ngay nếu bạn đang trầy trật cố gắng để [desired_outcome].</t>
  </si>
  <si>
    <t>desired_outcome</t>
  </si>
  <si>
    <t>Gom tệp siêu đích danh (Hyper-targeting)</t>
  </si>
  <si>
    <t>Chỉ ngón tay trực diện vào màn hình đập góc máy</t>
  </si>
  <si>
    <t>Qualified Leads</t>
  </si>
  <si>
    <t>H-32</t>
  </si>
  <si>
    <t>If you are a [target_audience] and you still don't have this tool...</t>
  </si>
  <si>
    <t>Nếu bạn đang làm một [target_audience] mà vẫn chưa sở hữu công cụ này thì quá thiếu sót.</t>
  </si>
  <si>
    <t>Định danh bản sắc cá nhân và nghề nghiệp (Identity Labeling)</t>
  </si>
  <si>
    <t>Giơ công cụ/màn hình điện thoại có giao diện công cụ đó lên</t>
  </si>
  <si>
    <t>H-33</t>
  </si>
  <si>
    <t>Try this 5-minute trick tonight and watch your [metric] change tomorrow.</t>
  </si>
  <si>
    <t>Áp dụng ngay mẹo 5 phút này tối nay và xem [metric] của bạn lột xác vào sáng mai.</t>
  </si>
  <si>
    <t>metric</t>
  </si>
  <si>
    <t>Phần thưởng ngay lập tức và dễ thực hiện (Instant Gratification)</t>
  </si>
  <si>
    <t>Đồng hồ bấm giờ đếm ngược chạy giật cục trên màn hình</t>
  </si>
  <si>
    <t>H-34</t>
  </si>
  <si>
    <t>This video is only for people who want to [aggressive_goal].</t>
  </si>
  <si>
    <t>Video này CHỈ dành riêng cho những ai thực sự muốn [aggressive_goal].</t>
  </si>
  <si>
    <t>aggressive_goal</t>
  </si>
  <si>
    <t>Tâm lý loại trừ, kích thích sự tò mò của người muốn vượt trội</t>
  </si>
  <si>
    <t>Gõ tay vào màn hình 3 cái liên tục tạo nhịp</t>
  </si>
  <si>
    <t>H-35</t>
  </si>
  <si>
    <t>If you are under 25 and want to [financial_goal], watch this.</t>
  </si>
  <si>
    <t>Nếu bạn dưới 25 tuổi và muốn chạm mốc [financial_goal], ngồi xuống nghe hết đoạn này.</t>
  </si>
  <si>
    <t>financial_goal</t>
  </si>
  <si>
    <t>Lọc tuổi và khao khát tài chính của thế hệ trẻ</t>
  </si>
  <si>
    <t>Cầm cuốn sổ ghi chép mở ra trang lật nhanh</t>
  </si>
  <si>
    <t>H-36</t>
  </si>
  <si>
    <t>Dear [niche_group], we need to have a serious conversation right now.</t>
  </si>
  <si>
    <t>Gửi riêng hội [niche_group], chúng ta cần phải ngồi xuống nói chuyện nghiêm túc một lần.</t>
  </si>
  <si>
    <t>niche_group</t>
  </si>
  <si>
    <t>Tạo cảm giác họp nội bộ, tính khép kín và thân mật</t>
  </si>
  <si>
    <t>Kéo ghế ngồi sát lại gần camera, chỉnh lại micro</t>
  </si>
  <si>
    <t>H-37</t>
  </si>
  <si>
    <t>If you own a [business_type], I'm going to solve your biggest problem in 45 seconds.</t>
  </si>
  <si>
    <t>Nếu bạn đang làm chủ một [business_type], tôi sẽ giải quyết nỗi đau lớn nhất của bạn trong đúng 45 giây.</t>
  </si>
  <si>
    <t>business_type</t>
  </si>
  <si>
    <t>Tuyên bố giá trị tối cao, giới hạn thời gian cụ thể</t>
  </si>
  <si>
    <t>Bấm nút bắt đầu đếm ngược trên một chiếc đồng hồ cát/led</t>
  </si>
  <si>
    <t>THỐNG KÊ NHANH  ·  THỢ LÀM MARKETING  ·  @tholammkt</t>
  </si>
  <si>
    <t>TỔNG CỘNG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</si>
</sst>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6">
    <font>
      <sz val="11.0"/>
      <color theme="1"/>
      <name val="Calibri"/>
      <scheme val="minor"/>
    </font>
    <font>
      <b/>
      <sz val="15.0"/>
      <color rgb="FFFFFFFF"/>
      <name val="Arial"/>
    </font>
    <font/>
    <font>
      <b/>
      <sz val="13.0"/>
      <color rgb="FFFFFFFF"/>
      <name val="Arial"/>
    </font>
    <font>
      <i/>
      <sz val="11.0"/>
      <color rgb="FF4A5568"/>
      <name val="Arial"/>
    </font>
    <font>
      <b/>
      <sz val="11.0"/>
      <color rgb="FFFFFFFF"/>
      <name val="Arial"/>
    </font>
    <font>
      <b/>
      <sz val="11.0"/>
      <color rgb="FF3F6B5A"/>
      <name val="Arial"/>
    </font>
    <font>
      <sz val="10.0"/>
      <color rgb="FF4A5568"/>
      <name val="Arial"/>
    </font>
    <font>
      <i/>
      <sz val="10.0"/>
      <color rgb="FF4A5568"/>
      <name val="Arial"/>
    </font>
    <font>
      <b/>
      <sz val="14.0"/>
      <color rgb="FFFFFFFF"/>
      <name val="Arial"/>
    </font>
    <font>
      <b/>
      <sz val="11.0"/>
      <color rgb="FFFFFFFF"/>
      <name val="Quattrocento Sans"/>
    </font>
    <font>
      <b/>
      <sz val="10.0"/>
      <color rgb="FF3F6B5A"/>
      <name val="Arial"/>
    </font>
    <font>
      <b/>
      <i/>
      <sz val="10.0"/>
      <color rgb="FF5A8A76"/>
      <name val="Arial"/>
    </font>
    <font>
      <b/>
      <sz val="10.0"/>
      <color rgb="FFB08D3A"/>
      <name val="Arial"/>
    </font>
    <font>
      <sz val="11.0"/>
      <color rgb="FF4A5568"/>
      <name val="Arial"/>
    </font>
    <font>
      <b/>
      <sz val="11.0"/>
      <color rgb="FFB08D3A"/>
      <name val="Arial"/>
    </font>
  </fonts>
  <fills count="9">
    <fill>
      <patternFill patternType="none"/>
    </fill>
    <fill>
      <patternFill patternType="lightGray"/>
    </fill>
    <fill>
      <patternFill patternType="solid">
        <fgColor rgb="FF3F6B5A"/>
        <bgColor rgb="FF3F6B5A"/>
      </patternFill>
    </fill>
    <fill>
      <patternFill patternType="solid">
        <fgColor rgb="FF5A8A76"/>
        <bgColor rgb="FF5A8A76"/>
      </patternFill>
    </fill>
    <fill>
      <patternFill patternType="solid">
        <fgColor rgb="FFEEEEE9"/>
        <bgColor rgb="FFEEEEE9"/>
      </patternFill>
    </fill>
    <fill>
      <patternFill patternType="solid">
        <fgColor rgb="FFDCE8E2"/>
        <bgColor rgb="FFDCE8E2"/>
      </patternFill>
    </fill>
    <fill>
      <patternFill patternType="solid">
        <fgColor rgb="FFF3F1EA"/>
        <bgColor rgb="FFF3F1EA"/>
      </patternFill>
    </fill>
    <fill>
      <patternFill patternType="solid">
        <fgColor rgb="FFFFFFFF"/>
        <bgColor rgb="FFFFFFFF"/>
      </patternFill>
    </fill>
    <fill>
      <patternFill patternType="solid">
        <fgColor rgb="FFE3EDE8"/>
        <bgColor rgb="FFE3EDE8"/>
      </patternFill>
    </fill>
  </fills>
  <borders count="12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C9C4B6"/>
      </left>
      <right style="thin">
        <color rgb="FFC9C4B6"/>
      </right>
      <top style="thin">
        <color rgb="FFC9C4B6"/>
      </top>
      <bottom style="thin">
        <color rgb="FFC9C4B6"/>
      </bottom>
    </border>
    <border>
      <left style="thin">
        <color rgb="FFE5E5EA"/>
      </left>
      <right style="thin">
        <color rgb="FFE5E5EA"/>
      </right>
      <top style="thin">
        <color rgb="FFE5E5EA"/>
      </top>
      <bottom style="thin">
        <color rgb="FFE5E5EA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7" fillId="4" fontId="4" numFmtId="0" xfId="0" applyAlignment="1" applyBorder="1" applyFill="1" applyFont="1">
      <alignment horizontal="center" vertical="center"/>
    </xf>
    <xf borderId="10" fillId="2" fontId="5" numFmtId="0" xfId="0" applyAlignment="1" applyBorder="1" applyFont="1">
      <alignment horizontal="center" shrinkToFit="0" vertical="center" wrapText="1"/>
    </xf>
    <xf borderId="10" fillId="5" fontId="6" numFmtId="0" xfId="0" applyAlignment="1" applyBorder="1" applyFill="1" applyFont="1">
      <alignment horizontal="left" shrinkToFit="0" vertical="center" wrapText="1"/>
    </xf>
    <xf borderId="10" fillId="6" fontId="7" numFmtId="0" xfId="0" applyAlignment="1" applyBorder="1" applyFill="1" applyFont="1">
      <alignment horizontal="left" shrinkToFit="0" vertical="center" wrapText="1"/>
    </xf>
    <xf borderId="10" fillId="6" fontId="8" numFmtId="0" xfId="0" applyAlignment="1" applyBorder="1" applyFont="1">
      <alignment horizontal="left" shrinkToFit="0" vertical="center" wrapText="1"/>
    </xf>
    <xf borderId="10" fillId="7" fontId="7" numFmtId="0" xfId="0" applyAlignment="1" applyBorder="1" applyFill="1" applyFont="1">
      <alignment horizontal="left" shrinkToFit="0" vertical="center" wrapText="1"/>
    </xf>
    <xf borderId="10" fillId="7" fontId="8" numFmtId="0" xfId="0" applyAlignment="1" applyBorder="1" applyFont="1">
      <alignment horizontal="left" shrinkToFit="0" vertical="center" wrapText="1"/>
    </xf>
    <xf borderId="1" fillId="2" fontId="9" numFmtId="0" xfId="0" applyAlignment="1" applyBorder="1" applyFont="1">
      <alignment horizontal="center" vertical="center"/>
    </xf>
    <xf borderId="10" fillId="3" fontId="5" numFmtId="0" xfId="0" applyAlignment="1" applyBorder="1" applyFont="1">
      <alignment horizontal="center" shrinkToFit="0" vertical="center" wrapText="1"/>
    </xf>
    <xf borderId="11" fillId="3" fontId="10" numFmtId="0" xfId="0" applyAlignment="1" applyBorder="1" applyFont="1">
      <alignment horizontal="center" shrinkToFit="0" vertical="center" wrapText="1"/>
    </xf>
    <xf borderId="10" fillId="8" fontId="11" numFmtId="0" xfId="0" applyAlignment="1" applyBorder="1" applyFill="1" applyFont="1">
      <alignment horizontal="left" shrinkToFit="0" vertical="center" wrapText="1"/>
    </xf>
    <xf borderId="10" fillId="8" fontId="11" numFmtId="0" xfId="0" applyAlignment="1" applyBorder="1" applyFont="1">
      <alignment horizontal="center" vertical="center"/>
    </xf>
    <xf borderId="10" fillId="8" fontId="12" numFmtId="0" xfId="0" applyAlignment="1" applyBorder="1" applyFont="1">
      <alignment horizontal="left" shrinkToFit="0" vertical="center" wrapText="1"/>
    </xf>
    <xf borderId="10" fillId="8" fontId="7" numFmtId="0" xfId="0" applyAlignment="1" applyBorder="1" applyFont="1">
      <alignment horizontal="left" shrinkToFit="0" vertical="center" wrapText="1"/>
    </xf>
    <xf borderId="10" fillId="8" fontId="7" numFmtId="0" xfId="0" applyAlignment="1" applyBorder="1" applyFont="1">
      <alignment horizontal="center" shrinkToFit="0" vertical="center" wrapText="1"/>
    </xf>
    <xf borderId="10" fillId="8" fontId="13" numFmtId="164" xfId="0" applyAlignment="1" applyBorder="1" applyFont="1" applyNumberFormat="1">
      <alignment horizontal="center" vertical="center"/>
    </xf>
    <xf borderId="10" fillId="6" fontId="11" numFmtId="0" xfId="0" applyAlignment="1" applyBorder="1" applyFont="1">
      <alignment horizontal="left" shrinkToFit="0" vertical="center" wrapText="1"/>
    </xf>
    <xf borderId="10" fillId="6" fontId="11" numFmtId="0" xfId="0" applyAlignment="1" applyBorder="1" applyFont="1">
      <alignment horizontal="center" vertical="center"/>
    </xf>
    <xf borderId="10" fillId="6" fontId="12" numFmtId="0" xfId="0" applyAlignment="1" applyBorder="1" applyFont="1">
      <alignment horizontal="left" shrinkToFit="0" vertical="center" wrapText="1"/>
    </xf>
    <xf borderId="10" fillId="6" fontId="7" numFmtId="0" xfId="0" applyAlignment="1" applyBorder="1" applyFont="1">
      <alignment horizontal="center" shrinkToFit="0" vertical="center" wrapText="1"/>
    </xf>
    <xf borderId="10" fillId="6" fontId="13" numFmtId="164" xfId="0" applyAlignment="1" applyBorder="1" applyFont="1" applyNumberFormat="1">
      <alignment horizontal="center" vertical="center"/>
    </xf>
    <xf borderId="10" fillId="3" fontId="5" numFmtId="0" xfId="0" applyAlignment="1" applyBorder="1" applyFont="1">
      <alignment horizontal="center" vertical="center"/>
    </xf>
    <xf borderId="10" fillId="6" fontId="6" numFmtId="0" xfId="0" applyAlignment="1" applyBorder="1" applyFont="1">
      <alignment horizontal="left" vertical="center"/>
    </xf>
    <xf borderId="10" fillId="6" fontId="14" numFmtId="0" xfId="0" applyAlignment="1" applyBorder="1" applyFont="1">
      <alignment horizontal="center" vertical="center"/>
    </xf>
    <xf borderId="10" fillId="6" fontId="15" numFmtId="0" xfId="0" applyAlignment="1" applyBorder="1" applyFont="1">
      <alignment horizontal="center" vertical="center"/>
    </xf>
    <xf borderId="10" fillId="7" fontId="6" numFmtId="0" xfId="0" applyAlignment="1" applyBorder="1" applyFont="1">
      <alignment horizontal="left" vertical="center"/>
    </xf>
    <xf borderId="10" fillId="7" fontId="14" numFmtId="0" xfId="0" applyAlignment="1" applyBorder="1" applyFont="1">
      <alignment horizontal="center" vertical="center"/>
    </xf>
    <xf borderId="10" fillId="7" fontId="15" numFmtId="0" xfId="0" applyAlignment="1" applyBorder="1" applyFont="1">
      <alignment horizontal="center" vertical="center"/>
    </xf>
    <xf borderId="10" fillId="3" fontId="5" numFmtId="0" xfId="0" applyAlignment="1" applyBorder="1" applyFont="1">
      <alignment horizontal="left" vertical="center"/>
    </xf>
    <xf borderId="10" fillId="3" fontId="5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0.0"/>
    <col customWidth="1" min="2" max="2" width="50.71"/>
    <col customWidth="1" min="3" max="3" width="47.57"/>
    <col customWidth="1" min="4" max="4" width="30.0"/>
    <col customWidth="1" min="5" max="26" width="8.71"/>
  </cols>
  <sheetData>
    <row r="1" ht="18.0" customHeight="1">
      <c r="A1" s="1" t="s">
        <v>0</v>
      </c>
      <c r="B1" s="2"/>
      <c r="C1" s="2"/>
      <c r="D1" s="3"/>
    </row>
    <row r="2" ht="18.0" customHeight="1">
      <c r="A2" s="4"/>
      <c r="B2" s="5"/>
      <c r="C2" s="5"/>
      <c r="D2" s="6"/>
    </row>
    <row r="3" ht="24.0" customHeight="1">
      <c r="A3" s="7" t="s">
        <v>1</v>
      </c>
      <c r="B3" s="8"/>
      <c r="C3" s="8"/>
      <c r="D3" s="9"/>
    </row>
    <row r="4" ht="21.75" customHeight="1">
      <c r="A4" s="10" t="s">
        <v>2</v>
      </c>
      <c r="B4" s="8"/>
      <c r="C4" s="8"/>
      <c r="D4" s="9"/>
    </row>
    <row r="6" ht="25.5" customHeight="1">
      <c r="A6" s="11"/>
      <c r="B6" s="11"/>
      <c r="C6" s="11"/>
      <c r="D6" s="11"/>
    </row>
    <row r="7" ht="57.75" customHeight="1">
      <c r="A7" s="12" t="s">
        <v>3</v>
      </c>
      <c r="B7" s="13" t="s">
        <v>4</v>
      </c>
      <c r="C7" s="13" t="s">
        <v>5</v>
      </c>
      <c r="D7" s="14" t="s">
        <v>6</v>
      </c>
    </row>
    <row r="8" ht="57.75" customHeight="1">
      <c r="A8" s="12" t="s">
        <v>7</v>
      </c>
      <c r="B8" s="15" t="s">
        <v>8</v>
      </c>
      <c r="C8" s="15" t="s">
        <v>9</v>
      </c>
      <c r="D8" s="16" t="s">
        <v>10</v>
      </c>
    </row>
    <row r="9" ht="57.75" customHeight="1">
      <c r="A9" s="12" t="s">
        <v>11</v>
      </c>
      <c r="B9" s="13" t="s">
        <v>12</v>
      </c>
      <c r="C9" s="13" t="s">
        <v>13</v>
      </c>
      <c r="D9" s="14" t="s">
        <v>14</v>
      </c>
    </row>
    <row r="10" ht="57.75" customHeight="1">
      <c r="A10" s="12" t="s">
        <v>15</v>
      </c>
      <c r="B10" s="15" t="s">
        <v>16</v>
      </c>
      <c r="C10" s="15" t="s">
        <v>17</v>
      </c>
      <c r="D10" s="16" t="s">
        <v>18</v>
      </c>
    </row>
    <row r="11" ht="57.75" customHeight="1">
      <c r="A11" s="12" t="s">
        <v>19</v>
      </c>
      <c r="B11" s="13" t="s">
        <v>20</v>
      </c>
      <c r="C11" s="13" t="s">
        <v>21</v>
      </c>
      <c r="D11" s="14" t="s">
        <v>22</v>
      </c>
    </row>
    <row r="12" ht="57.75" customHeight="1">
      <c r="A12" s="12" t="s">
        <v>23</v>
      </c>
      <c r="B12" s="15" t="s">
        <v>24</v>
      </c>
      <c r="C12" s="15" t="s">
        <v>25</v>
      </c>
      <c r="D12" s="16" t="s">
        <v>26</v>
      </c>
    </row>
    <row r="13" ht="57.75" customHeight="1">
      <c r="A13" s="12" t="s">
        <v>27</v>
      </c>
      <c r="B13" s="13" t="s">
        <v>28</v>
      </c>
      <c r="C13" s="13" t="s">
        <v>29</v>
      </c>
      <c r="D13" s="14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2"/>
    <mergeCell ref="A3:D3"/>
    <mergeCell ref="A4:D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22.0"/>
    <col customWidth="1" min="2" max="2" width="12.29"/>
    <col customWidth="1" min="3" max="3" width="18.0"/>
    <col customWidth="1" min="4" max="4" width="40.0"/>
    <col customWidth="1" min="5" max="5" width="42.0"/>
    <col customWidth="1" min="6" max="6" width="22.0"/>
    <col customWidth="1" min="7" max="7" width="28.0"/>
    <col customWidth="1" min="8" max="8" width="34.0"/>
    <col customWidth="1" min="9" max="9" width="18.0"/>
    <col customWidth="1" min="10" max="10" width="11.0"/>
    <col customWidth="1" min="11" max="26" width="8.71"/>
  </cols>
  <sheetData>
    <row r="1" ht="15.75" customHeight="1">
      <c r="A1" s="17" t="s">
        <v>31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4"/>
      <c r="B2" s="5"/>
      <c r="C2" s="5"/>
      <c r="D2" s="5"/>
      <c r="E2" s="5"/>
      <c r="F2" s="5"/>
      <c r="G2" s="5"/>
      <c r="H2" s="5"/>
      <c r="I2" s="5"/>
      <c r="J2" s="6"/>
    </row>
    <row r="4" ht="33.75" customHeight="1">
      <c r="A4" s="18" t="s">
        <v>32</v>
      </c>
      <c r="B4" s="19" t="s">
        <v>33</v>
      </c>
      <c r="C4" s="19" t="s">
        <v>34</v>
      </c>
      <c r="D4" s="19" t="s">
        <v>35</v>
      </c>
      <c r="E4" s="19" t="s">
        <v>36</v>
      </c>
      <c r="F4" s="19" t="s">
        <v>37</v>
      </c>
      <c r="G4" s="19" t="s">
        <v>38</v>
      </c>
      <c r="H4" s="19" t="s">
        <v>39</v>
      </c>
      <c r="I4" s="19" t="s">
        <v>40</v>
      </c>
      <c r="J4" s="19" t="s">
        <v>41</v>
      </c>
    </row>
    <row r="5">
      <c r="A5" s="20" t="s">
        <v>42</v>
      </c>
      <c r="B5" s="21" t="s">
        <v>43</v>
      </c>
      <c r="C5" s="22" t="s">
        <v>44</v>
      </c>
      <c r="D5" s="23" t="s">
        <v>45</v>
      </c>
      <c r="E5" s="23" t="s">
        <v>46</v>
      </c>
      <c r="F5" s="23" t="s">
        <v>47</v>
      </c>
      <c r="G5" s="23" t="s">
        <v>48</v>
      </c>
      <c r="H5" s="23" t="s">
        <v>49</v>
      </c>
      <c r="I5" s="24" t="s">
        <v>50</v>
      </c>
      <c r="J5" s="25">
        <v>9.1</v>
      </c>
    </row>
    <row r="6">
      <c r="A6" s="20" t="s">
        <v>42</v>
      </c>
      <c r="B6" s="21" t="s">
        <v>51</v>
      </c>
      <c r="C6" s="22" t="s">
        <v>44</v>
      </c>
      <c r="D6" s="23" t="s">
        <v>52</v>
      </c>
      <c r="E6" s="23" t="s">
        <v>53</v>
      </c>
      <c r="F6" s="23" t="s">
        <v>47</v>
      </c>
      <c r="G6" s="23" t="s">
        <v>54</v>
      </c>
      <c r="H6" s="23" t="s">
        <v>55</v>
      </c>
      <c r="I6" s="24" t="s">
        <v>56</v>
      </c>
      <c r="J6" s="25">
        <v>9.5</v>
      </c>
    </row>
    <row r="7">
      <c r="A7" s="20" t="s">
        <v>42</v>
      </c>
      <c r="B7" s="21" t="s">
        <v>57</v>
      </c>
      <c r="C7" s="22" t="s">
        <v>44</v>
      </c>
      <c r="D7" s="23" t="s">
        <v>58</v>
      </c>
      <c r="E7" s="23" t="s">
        <v>59</v>
      </c>
      <c r="F7" s="23" t="s">
        <v>60</v>
      </c>
      <c r="G7" s="23" t="s">
        <v>61</v>
      </c>
      <c r="H7" s="23" t="s">
        <v>62</v>
      </c>
      <c r="I7" s="24" t="s">
        <v>63</v>
      </c>
      <c r="J7" s="25">
        <v>9.4</v>
      </c>
    </row>
    <row r="8">
      <c r="A8" s="20" t="s">
        <v>42</v>
      </c>
      <c r="B8" s="21" t="s">
        <v>64</v>
      </c>
      <c r="C8" s="22" t="s">
        <v>44</v>
      </c>
      <c r="D8" s="23" t="s">
        <v>65</v>
      </c>
      <c r="E8" s="23" t="s">
        <v>66</v>
      </c>
      <c r="F8" s="23" t="s">
        <v>47</v>
      </c>
      <c r="G8" s="23" t="s">
        <v>67</v>
      </c>
      <c r="H8" s="23" t="s">
        <v>68</v>
      </c>
      <c r="I8" s="24" t="s">
        <v>69</v>
      </c>
      <c r="J8" s="25">
        <v>9.3</v>
      </c>
    </row>
    <row r="9">
      <c r="A9" s="20" t="s">
        <v>42</v>
      </c>
      <c r="B9" s="21" t="s">
        <v>70</v>
      </c>
      <c r="C9" s="22" t="s">
        <v>44</v>
      </c>
      <c r="D9" s="23" t="s">
        <v>71</v>
      </c>
      <c r="E9" s="23" t="s">
        <v>72</v>
      </c>
      <c r="F9" s="23" t="s">
        <v>47</v>
      </c>
      <c r="G9" s="23" t="s">
        <v>73</v>
      </c>
      <c r="H9" s="23" t="s">
        <v>74</v>
      </c>
      <c r="I9" s="24" t="s">
        <v>75</v>
      </c>
      <c r="J9" s="25">
        <v>9.2</v>
      </c>
    </row>
    <row r="10">
      <c r="A10" s="20" t="s">
        <v>42</v>
      </c>
      <c r="B10" s="21" t="s">
        <v>76</v>
      </c>
      <c r="C10" s="22" t="s">
        <v>44</v>
      </c>
      <c r="D10" s="23" t="s">
        <v>77</v>
      </c>
      <c r="E10" s="23" t="s">
        <v>78</v>
      </c>
      <c r="F10" s="23" t="s">
        <v>47</v>
      </c>
      <c r="G10" s="23" t="s">
        <v>79</v>
      </c>
      <c r="H10" s="23" t="s">
        <v>80</v>
      </c>
      <c r="I10" s="24" t="s">
        <v>75</v>
      </c>
      <c r="J10" s="25">
        <v>9.6</v>
      </c>
    </row>
    <row r="11">
      <c r="A11" s="20" t="s">
        <v>42</v>
      </c>
      <c r="B11" s="21" t="s">
        <v>81</v>
      </c>
      <c r="C11" s="22" t="s">
        <v>44</v>
      </c>
      <c r="D11" s="23" t="s">
        <v>82</v>
      </c>
      <c r="E11" s="23" t="s">
        <v>83</v>
      </c>
      <c r="F11" s="23" t="s">
        <v>84</v>
      </c>
      <c r="G11" s="23" t="s">
        <v>85</v>
      </c>
      <c r="H11" s="23" t="s">
        <v>86</v>
      </c>
      <c r="I11" s="24" t="s">
        <v>87</v>
      </c>
      <c r="J11" s="25">
        <v>9.5</v>
      </c>
    </row>
    <row r="12">
      <c r="A12" s="20" t="s">
        <v>42</v>
      </c>
      <c r="B12" s="21" t="s">
        <v>88</v>
      </c>
      <c r="C12" s="22" t="s">
        <v>89</v>
      </c>
      <c r="D12" s="23" t="s">
        <v>90</v>
      </c>
      <c r="E12" s="23" t="s">
        <v>91</v>
      </c>
      <c r="F12" s="23" t="s">
        <v>92</v>
      </c>
      <c r="G12" s="23" t="s">
        <v>93</v>
      </c>
      <c r="H12" s="23" t="s">
        <v>94</v>
      </c>
      <c r="I12" s="24" t="s">
        <v>95</v>
      </c>
      <c r="J12" s="25">
        <v>9.8</v>
      </c>
    </row>
    <row r="13">
      <c r="A13" s="20" t="s">
        <v>42</v>
      </c>
      <c r="B13" s="21" t="s">
        <v>96</v>
      </c>
      <c r="C13" s="22" t="s">
        <v>89</v>
      </c>
      <c r="D13" s="23" t="s">
        <v>97</v>
      </c>
      <c r="E13" s="23" t="s">
        <v>98</v>
      </c>
      <c r="F13" s="23" t="s">
        <v>99</v>
      </c>
      <c r="G13" s="23" t="s">
        <v>100</v>
      </c>
      <c r="H13" s="23" t="s">
        <v>101</v>
      </c>
      <c r="I13" s="24" t="s">
        <v>102</v>
      </c>
      <c r="J13" s="25">
        <v>9.7</v>
      </c>
    </row>
    <row r="14">
      <c r="A14" s="20" t="s">
        <v>42</v>
      </c>
      <c r="B14" s="21" t="s">
        <v>103</v>
      </c>
      <c r="C14" s="22" t="s">
        <v>89</v>
      </c>
      <c r="D14" s="23" t="s">
        <v>104</v>
      </c>
      <c r="E14" s="23" t="s">
        <v>105</v>
      </c>
      <c r="F14" s="23" t="s">
        <v>106</v>
      </c>
      <c r="G14" s="23" t="s">
        <v>107</v>
      </c>
      <c r="H14" s="23" t="s">
        <v>108</v>
      </c>
      <c r="I14" s="24" t="s">
        <v>109</v>
      </c>
      <c r="J14" s="25">
        <v>9.5</v>
      </c>
    </row>
    <row r="15">
      <c r="A15" s="20" t="s">
        <v>42</v>
      </c>
      <c r="B15" s="21" t="s">
        <v>110</v>
      </c>
      <c r="C15" s="22" t="s">
        <v>89</v>
      </c>
      <c r="D15" s="23" t="s">
        <v>111</v>
      </c>
      <c r="E15" s="23" t="s">
        <v>112</v>
      </c>
      <c r="F15" s="23" t="s">
        <v>113</v>
      </c>
      <c r="G15" s="23" t="s">
        <v>114</v>
      </c>
      <c r="H15" s="23" t="s">
        <v>115</v>
      </c>
      <c r="I15" s="24" t="s">
        <v>116</v>
      </c>
      <c r="J15" s="25">
        <v>9.6</v>
      </c>
    </row>
    <row r="16">
      <c r="A16" s="20" t="s">
        <v>42</v>
      </c>
      <c r="B16" s="21" t="s">
        <v>117</v>
      </c>
      <c r="C16" s="22" t="s">
        <v>89</v>
      </c>
      <c r="D16" s="23" t="s">
        <v>118</v>
      </c>
      <c r="E16" s="23" t="s">
        <v>119</v>
      </c>
      <c r="F16" s="23" t="s">
        <v>120</v>
      </c>
      <c r="G16" s="23" t="s">
        <v>121</v>
      </c>
      <c r="H16" s="23" t="s">
        <v>122</v>
      </c>
      <c r="I16" s="24" t="s">
        <v>123</v>
      </c>
      <c r="J16" s="25">
        <v>9.4</v>
      </c>
    </row>
    <row r="17">
      <c r="A17" s="20" t="s">
        <v>42</v>
      </c>
      <c r="B17" s="21" t="s">
        <v>124</v>
      </c>
      <c r="C17" s="22" t="s">
        <v>89</v>
      </c>
      <c r="D17" s="23" t="s">
        <v>125</v>
      </c>
      <c r="E17" s="23" t="s">
        <v>126</v>
      </c>
      <c r="F17" s="23" t="s">
        <v>127</v>
      </c>
      <c r="G17" s="23" t="s">
        <v>128</v>
      </c>
      <c r="H17" s="23" t="s">
        <v>129</v>
      </c>
      <c r="I17" s="24" t="s">
        <v>130</v>
      </c>
      <c r="J17" s="25">
        <v>9.3</v>
      </c>
    </row>
    <row r="18">
      <c r="A18" s="26" t="s">
        <v>131</v>
      </c>
      <c r="B18" s="27" t="s">
        <v>132</v>
      </c>
      <c r="C18" s="28" t="s">
        <v>10</v>
      </c>
      <c r="D18" s="13" t="s">
        <v>133</v>
      </c>
      <c r="E18" s="13" t="s">
        <v>134</v>
      </c>
      <c r="F18" s="13" t="s">
        <v>135</v>
      </c>
      <c r="G18" s="13" t="s">
        <v>136</v>
      </c>
      <c r="H18" s="13" t="s">
        <v>137</v>
      </c>
      <c r="I18" s="29" t="s">
        <v>138</v>
      </c>
      <c r="J18" s="30">
        <v>9.7</v>
      </c>
    </row>
    <row r="19">
      <c r="A19" s="26" t="s">
        <v>131</v>
      </c>
      <c r="B19" s="27" t="s">
        <v>139</v>
      </c>
      <c r="C19" s="28" t="s">
        <v>10</v>
      </c>
      <c r="D19" s="13" t="s">
        <v>140</v>
      </c>
      <c r="E19" s="13" t="s">
        <v>141</v>
      </c>
      <c r="F19" s="13" t="s">
        <v>142</v>
      </c>
      <c r="G19" s="13" t="s">
        <v>143</v>
      </c>
      <c r="H19" s="13" t="s">
        <v>144</v>
      </c>
      <c r="I19" s="29" t="s">
        <v>109</v>
      </c>
      <c r="J19" s="30">
        <v>9.5</v>
      </c>
    </row>
    <row r="20">
      <c r="A20" s="26" t="s">
        <v>131</v>
      </c>
      <c r="B20" s="27" t="s">
        <v>145</v>
      </c>
      <c r="C20" s="28" t="s">
        <v>10</v>
      </c>
      <c r="D20" s="13" t="s">
        <v>146</v>
      </c>
      <c r="E20" s="13" t="s">
        <v>147</v>
      </c>
      <c r="F20" s="13" t="s">
        <v>148</v>
      </c>
      <c r="G20" s="13" t="s">
        <v>149</v>
      </c>
      <c r="H20" s="13" t="s">
        <v>150</v>
      </c>
      <c r="I20" s="29" t="s">
        <v>151</v>
      </c>
      <c r="J20" s="30">
        <v>9.6</v>
      </c>
    </row>
    <row r="21" ht="15.75" customHeight="1">
      <c r="A21" s="26" t="s">
        <v>131</v>
      </c>
      <c r="B21" s="27" t="s">
        <v>152</v>
      </c>
      <c r="C21" s="28" t="s">
        <v>10</v>
      </c>
      <c r="D21" s="13" t="s">
        <v>153</v>
      </c>
      <c r="E21" s="13" t="s">
        <v>154</v>
      </c>
      <c r="F21" s="13" t="s">
        <v>155</v>
      </c>
      <c r="G21" s="13" t="s">
        <v>156</v>
      </c>
      <c r="H21" s="13" t="s">
        <v>157</v>
      </c>
      <c r="I21" s="29" t="s">
        <v>158</v>
      </c>
      <c r="J21" s="30">
        <v>9.4</v>
      </c>
    </row>
    <row r="22" ht="15.75" customHeight="1">
      <c r="A22" s="26" t="s">
        <v>131</v>
      </c>
      <c r="B22" s="27" t="s">
        <v>159</v>
      </c>
      <c r="C22" s="28" t="s">
        <v>10</v>
      </c>
      <c r="D22" s="13" t="s">
        <v>160</v>
      </c>
      <c r="E22" s="13" t="s">
        <v>161</v>
      </c>
      <c r="F22" s="13" t="s">
        <v>162</v>
      </c>
      <c r="G22" s="13" t="s">
        <v>163</v>
      </c>
      <c r="H22" s="13" t="s">
        <v>164</v>
      </c>
      <c r="I22" s="29" t="s">
        <v>75</v>
      </c>
      <c r="J22" s="30">
        <v>9.3</v>
      </c>
    </row>
    <row r="23" ht="15.75" customHeight="1">
      <c r="A23" s="26" t="s">
        <v>131</v>
      </c>
      <c r="B23" s="27" t="s">
        <v>165</v>
      </c>
      <c r="C23" s="28" t="s">
        <v>10</v>
      </c>
      <c r="D23" s="13" t="s">
        <v>166</v>
      </c>
      <c r="E23" s="13" t="s">
        <v>167</v>
      </c>
      <c r="F23" s="13" t="s">
        <v>168</v>
      </c>
      <c r="G23" s="13" t="s">
        <v>169</v>
      </c>
      <c r="H23" s="13" t="s">
        <v>170</v>
      </c>
      <c r="I23" s="29" t="s">
        <v>171</v>
      </c>
      <c r="J23" s="30">
        <v>9.5</v>
      </c>
    </row>
    <row r="24" ht="15.75" customHeight="1">
      <c r="A24" s="26" t="s">
        <v>131</v>
      </c>
      <c r="B24" s="27" t="s">
        <v>172</v>
      </c>
      <c r="C24" s="28" t="s">
        <v>10</v>
      </c>
      <c r="D24" s="13" t="s">
        <v>173</v>
      </c>
      <c r="E24" s="13" t="s">
        <v>174</v>
      </c>
      <c r="F24" s="13" t="s">
        <v>175</v>
      </c>
      <c r="G24" s="13" t="s">
        <v>176</v>
      </c>
      <c r="H24" s="13" t="s">
        <v>177</v>
      </c>
      <c r="I24" s="29" t="s">
        <v>178</v>
      </c>
      <c r="J24" s="30">
        <v>9.6</v>
      </c>
    </row>
    <row r="25" ht="15.75" customHeight="1">
      <c r="A25" s="26" t="s">
        <v>131</v>
      </c>
      <c r="B25" s="27" t="s">
        <v>179</v>
      </c>
      <c r="C25" s="28" t="s">
        <v>10</v>
      </c>
      <c r="D25" s="13" t="s">
        <v>180</v>
      </c>
      <c r="E25" s="13" t="s">
        <v>181</v>
      </c>
      <c r="F25" s="13" t="s">
        <v>182</v>
      </c>
      <c r="G25" s="13" t="s">
        <v>183</v>
      </c>
      <c r="H25" s="13" t="s">
        <v>184</v>
      </c>
      <c r="I25" s="29" t="s">
        <v>185</v>
      </c>
      <c r="J25" s="30">
        <v>9.7</v>
      </c>
    </row>
    <row r="26" ht="15.75" customHeight="1">
      <c r="A26" s="20" t="s">
        <v>186</v>
      </c>
      <c r="B26" s="21" t="s">
        <v>187</v>
      </c>
      <c r="C26" s="22" t="s">
        <v>188</v>
      </c>
      <c r="D26" s="23" t="s">
        <v>189</v>
      </c>
      <c r="E26" s="23" t="s">
        <v>190</v>
      </c>
      <c r="F26" s="23" t="s">
        <v>191</v>
      </c>
      <c r="G26" s="23" t="s">
        <v>192</v>
      </c>
      <c r="H26" s="23" t="s">
        <v>193</v>
      </c>
      <c r="I26" s="24" t="s">
        <v>194</v>
      </c>
      <c r="J26" s="25">
        <v>9.6</v>
      </c>
    </row>
    <row r="27" ht="15.75" customHeight="1">
      <c r="A27" s="20" t="s">
        <v>186</v>
      </c>
      <c r="B27" s="21" t="s">
        <v>195</v>
      </c>
      <c r="C27" s="22" t="s">
        <v>188</v>
      </c>
      <c r="D27" s="23" t="s">
        <v>196</v>
      </c>
      <c r="E27" s="23" t="s">
        <v>197</v>
      </c>
      <c r="F27" s="23" t="s">
        <v>198</v>
      </c>
      <c r="G27" s="23" t="s">
        <v>199</v>
      </c>
      <c r="H27" s="23" t="s">
        <v>200</v>
      </c>
      <c r="I27" s="24" t="s">
        <v>75</v>
      </c>
      <c r="J27" s="25">
        <v>9.4</v>
      </c>
    </row>
    <row r="28" ht="15.75" customHeight="1">
      <c r="A28" s="20" t="s">
        <v>186</v>
      </c>
      <c r="B28" s="21" t="s">
        <v>201</v>
      </c>
      <c r="C28" s="22" t="s">
        <v>188</v>
      </c>
      <c r="D28" s="23" t="s">
        <v>202</v>
      </c>
      <c r="E28" s="23" t="s">
        <v>203</v>
      </c>
      <c r="F28" s="23" t="s">
        <v>204</v>
      </c>
      <c r="G28" s="23" t="s">
        <v>205</v>
      </c>
      <c r="H28" s="23" t="s">
        <v>206</v>
      </c>
      <c r="I28" s="24" t="s">
        <v>207</v>
      </c>
      <c r="J28" s="25">
        <v>9.5</v>
      </c>
    </row>
    <row r="29" ht="15.75" customHeight="1">
      <c r="A29" s="20" t="s">
        <v>186</v>
      </c>
      <c r="B29" s="21" t="s">
        <v>208</v>
      </c>
      <c r="C29" s="22" t="s">
        <v>188</v>
      </c>
      <c r="D29" s="23" t="s">
        <v>209</v>
      </c>
      <c r="E29" s="23" t="s">
        <v>210</v>
      </c>
      <c r="F29" s="23" t="s">
        <v>211</v>
      </c>
      <c r="G29" s="23" t="s">
        <v>212</v>
      </c>
      <c r="H29" s="23" t="s">
        <v>213</v>
      </c>
      <c r="I29" s="24" t="s">
        <v>123</v>
      </c>
      <c r="J29" s="25">
        <v>9.2</v>
      </c>
    </row>
    <row r="30" ht="15.75" customHeight="1">
      <c r="A30" s="20" t="s">
        <v>186</v>
      </c>
      <c r="B30" s="21" t="s">
        <v>214</v>
      </c>
      <c r="C30" s="22" t="s">
        <v>188</v>
      </c>
      <c r="D30" s="23" t="s">
        <v>215</v>
      </c>
      <c r="E30" s="23" t="s">
        <v>216</v>
      </c>
      <c r="F30" s="23" t="s">
        <v>217</v>
      </c>
      <c r="G30" s="23" t="s">
        <v>218</v>
      </c>
      <c r="H30" s="23" t="s">
        <v>219</v>
      </c>
      <c r="I30" s="24" t="s">
        <v>171</v>
      </c>
      <c r="J30" s="25">
        <v>9.7</v>
      </c>
    </row>
    <row r="31" ht="15.75" customHeight="1">
      <c r="A31" s="20" t="s">
        <v>186</v>
      </c>
      <c r="B31" s="21" t="s">
        <v>220</v>
      </c>
      <c r="C31" s="22" t="s">
        <v>188</v>
      </c>
      <c r="D31" s="23" t="s">
        <v>221</v>
      </c>
      <c r="E31" s="23" t="s">
        <v>222</v>
      </c>
      <c r="F31" s="23" t="s">
        <v>223</v>
      </c>
      <c r="G31" s="23" t="s">
        <v>224</v>
      </c>
      <c r="H31" s="23" t="s">
        <v>225</v>
      </c>
      <c r="I31" s="24" t="s">
        <v>63</v>
      </c>
      <c r="J31" s="25">
        <v>9.3</v>
      </c>
    </row>
    <row r="32" ht="15.75" customHeight="1">
      <c r="A32" s="20" t="s">
        <v>186</v>
      </c>
      <c r="B32" s="21" t="s">
        <v>226</v>
      </c>
      <c r="C32" s="22" t="s">
        <v>188</v>
      </c>
      <c r="D32" s="23" t="s">
        <v>227</v>
      </c>
      <c r="E32" s="23" t="s">
        <v>228</v>
      </c>
      <c r="F32" s="23" t="s">
        <v>229</v>
      </c>
      <c r="G32" s="23" t="s">
        <v>230</v>
      </c>
      <c r="H32" s="23" t="s">
        <v>231</v>
      </c>
      <c r="I32" s="24" t="s">
        <v>232</v>
      </c>
      <c r="J32" s="25">
        <v>9.4</v>
      </c>
    </row>
    <row r="33" ht="15.75" customHeight="1">
      <c r="A33" s="20" t="s">
        <v>186</v>
      </c>
      <c r="B33" s="21" t="s">
        <v>233</v>
      </c>
      <c r="C33" s="22" t="s">
        <v>234</v>
      </c>
      <c r="D33" s="23" t="s">
        <v>235</v>
      </c>
      <c r="E33" s="23" t="s">
        <v>236</v>
      </c>
      <c r="F33" s="23" t="s">
        <v>237</v>
      </c>
      <c r="G33" s="23" t="s">
        <v>238</v>
      </c>
      <c r="H33" s="23" t="s">
        <v>239</v>
      </c>
      <c r="I33" s="24" t="s">
        <v>240</v>
      </c>
      <c r="J33" s="25">
        <v>9.7</v>
      </c>
    </row>
    <row r="34" ht="15.75" customHeight="1">
      <c r="A34" s="20" t="s">
        <v>186</v>
      </c>
      <c r="B34" s="21" t="s">
        <v>241</v>
      </c>
      <c r="C34" s="22" t="s">
        <v>234</v>
      </c>
      <c r="D34" s="23" t="s">
        <v>242</v>
      </c>
      <c r="E34" s="23" t="s">
        <v>243</v>
      </c>
      <c r="F34" s="23" t="s">
        <v>244</v>
      </c>
      <c r="G34" s="23" t="s">
        <v>245</v>
      </c>
      <c r="H34" s="23" t="s">
        <v>246</v>
      </c>
      <c r="I34" s="24" t="s">
        <v>116</v>
      </c>
      <c r="J34" s="25">
        <v>9.8</v>
      </c>
    </row>
    <row r="35" ht="15.75" customHeight="1">
      <c r="A35" s="20" t="s">
        <v>186</v>
      </c>
      <c r="B35" s="21" t="s">
        <v>247</v>
      </c>
      <c r="C35" s="22" t="s">
        <v>234</v>
      </c>
      <c r="D35" s="23" t="s">
        <v>248</v>
      </c>
      <c r="E35" s="23" t="s">
        <v>249</v>
      </c>
      <c r="F35" s="23" t="s">
        <v>250</v>
      </c>
      <c r="G35" s="23" t="s">
        <v>251</v>
      </c>
      <c r="H35" s="23" t="s">
        <v>252</v>
      </c>
      <c r="I35" s="24" t="s">
        <v>253</v>
      </c>
      <c r="J35" s="25">
        <v>9.6</v>
      </c>
    </row>
    <row r="36" ht="15.75" customHeight="1">
      <c r="A36" s="20" t="s">
        <v>186</v>
      </c>
      <c r="B36" s="21" t="s">
        <v>254</v>
      </c>
      <c r="C36" s="22" t="s">
        <v>234</v>
      </c>
      <c r="D36" s="23" t="s">
        <v>255</v>
      </c>
      <c r="E36" s="23" t="s">
        <v>256</v>
      </c>
      <c r="F36" s="23" t="s">
        <v>257</v>
      </c>
      <c r="G36" s="23" t="s">
        <v>258</v>
      </c>
      <c r="H36" s="23" t="s">
        <v>259</v>
      </c>
      <c r="I36" s="24" t="s">
        <v>109</v>
      </c>
      <c r="J36" s="25">
        <v>9.4</v>
      </c>
    </row>
    <row r="37" ht="15.75" customHeight="1">
      <c r="A37" s="20" t="s">
        <v>186</v>
      </c>
      <c r="B37" s="21" t="s">
        <v>260</v>
      </c>
      <c r="C37" s="22" t="s">
        <v>234</v>
      </c>
      <c r="D37" s="23" t="s">
        <v>261</v>
      </c>
      <c r="E37" s="23" t="s">
        <v>262</v>
      </c>
      <c r="F37" s="23" t="s">
        <v>263</v>
      </c>
      <c r="G37" s="23" t="s">
        <v>264</v>
      </c>
      <c r="H37" s="23" t="s">
        <v>265</v>
      </c>
      <c r="I37" s="24" t="s">
        <v>266</v>
      </c>
      <c r="J37" s="25">
        <v>9.5</v>
      </c>
    </row>
    <row r="38" ht="15.75" customHeight="1">
      <c r="A38" s="20" t="s">
        <v>186</v>
      </c>
      <c r="B38" s="21" t="s">
        <v>267</v>
      </c>
      <c r="C38" s="22" t="s">
        <v>234</v>
      </c>
      <c r="D38" s="23" t="s">
        <v>268</v>
      </c>
      <c r="E38" s="23" t="s">
        <v>269</v>
      </c>
      <c r="F38" s="23" t="s">
        <v>270</v>
      </c>
      <c r="G38" s="23" t="s">
        <v>271</v>
      </c>
      <c r="H38" s="23" t="s">
        <v>272</v>
      </c>
      <c r="I38" s="24" t="s">
        <v>116</v>
      </c>
      <c r="J38" s="25">
        <v>9.9</v>
      </c>
    </row>
    <row r="39" ht="15.75" customHeight="1">
      <c r="A39" s="26" t="s">
        <v>273</v>
      </c>
      <c r="B39" s="27" t="s">
        <v>274</v>
      </c>
      <c r="C39" s="28" t="s">
        <v>275</v>
      </c>
      <c r="D39" s="13" t="s">
        <v>276</v>
      </c>
      <c r="E39" s="13" t="s">
        <v>277</v>
      </c>
      <c r="F39" s="13" t="s">
        <v>278</v>
      </c>
      <c r="G39" s="13" t="s">
        <v>279</v>
      </c>
      <c r="H39" s="13" t="s">
        <v>280</v>
      </c>
      <c r="I39" s="29" t="s">
        <v>109</v>
      </c>
      <c r="J39" s="30">
        <v>9.5</v>
      </c>
    </row>
    <row r="40" ht="15.75" customHeight="1">
      <c r="A40" s="26" t="s">
        <v>273</v>
      </c>
      <c r="B40" s="27" t="s">
        <v>281</v>
      </c>
      <c r="C40" s="28" t="s">
        <v>275</v>
      </c>
      <c r="D40" s="13" t="s">
        <v>282</v>
      </c>
      <c r="E40" s="13" t="s">
        <v>283</v>
      </c>
      <c r="F40" s="13" t="s">
        <v>284</v>
      </c>
      <c r="G40" s="13" t="s">
        <v>285</v>
      </c>
      <c r="H40" s="13" t="s">
        <v>286</v>
      </c>
      <c r="I40" s="29" t="s">
        <v>123</v>
      </c>
      <c r="J40" s="30">
        <v>9.3</v>
      </c>
    </row>
    <row r="41" ht="15.75" customHeight="1">
      <c r="A41" s="26" t="s">
        <v>273</v>
      </c>
      <c r="B41" s="27" t="s">
        <v>287</v>
      </c>
      <c r="C41" s="28" t="s">
        <v>275</v>
      </c>
      <c r="D41" s="13" t="s">
        <v>288</v>
      </c>
      <c r="E41" s="13" t="s">
        <v>289</v>
      </c>
      <c r="F41" s="13" t="s">
        <v>290</v>
      </c>
      <c r="G41" s="13" t="s">
        <v>291</v>
      </c>
      <c r="H41" s="13" t="s">
        <v>292</v>
      </c>
      <c r="I41" s="29" t="s">
        <v>75</v>
      </c>
      <c r="J41" s="30">
        <v>9.4</v>
      </c>
    </row>
    <row r="42" ht="15.75" customHeight="1">
      <c r="A42" s="26" t="s">
        <v>273</v>
      </c>
      <c r="B42" s="27" t="s">
        <v>293</v>
      </c>
      <c r="C42" s="28" t="s">
        <v>275</v>
      </c>
      <c r="D42" s="13" t="s">
        <v>294</v>
      </c>
      <c r="E42" s="13" t="s">
        <v>295</v>
      </c>
      <c r="F42" s="13" t="s">
        <v>296</v>
      </c>
      <c r="G42" s="13" t="s">
        <v>297</v>
      </c>
      <c r="H42" s="13" t="s">
        <v>298</v>
      </c>
      <c r="I42" s="29" t="s">
        <v>158</v>
      </c>
      <c r="J42" s="30">
        <v>9.1</v>
      </c>
    </row>
    <row r="43" ht="15.75" customHeight="1">
      <c r="A43" s="26" t="s">
        <v>273</v>
      </c>
      <c r="B43" s="27" t="s">
        <v>299</v>
      </c>
      <c r="C43" s="28" t="s">
        <v>275</v>
      </c>
      <c r="D43" s="13" t="s">
        <v>300</v>
      </c>
      <c r="E43" s="13" t="s">
        <v>301</v>
      </c>
      <c r="F43" s="13" t="s">
        <v>302</v>
      </c>
      <c r="G43" s="13" t="s">
        <v>303</v>
      </c>
      <c r="H43" s="13" t="s">
        <v>304</v>
      </c>
      <c r="I43" s="29" t="s">
        <v>305</v>
      </c>
      <c r="J43" s="30">
        <v>9.0</v>
      </c>
    </row>
    <row r="44" ht="15.75" customHeight="1">
      <c r="A44" s="26" t="s">
        <v>273</v>
      </c>
      <c r="B44" s="27" t="s">
        <v>306</v>
      </c>
      <c r="C44" s="28" t="s">
        <v>275</v>
      </c>
      <c r="D44" s="13" t="s">
        <v>307</v>
      </c>
      <c r="E44" s="13" t="s">
        <v>308</v>
      </c>
      <c r="F44" s="13" t="s">
        <v>309</v>
      </c>
      <c r="G44" s="13" t="s">
        <v>310</v>
      </c>
      <c r="H44" s="13" t="s">
        <v>311</v>
      </c>
      <c r="I44" s="29" t="s">
        <v>116</v>
      </c>
      <c r="J44" s="30">
        <v>9.5</v>
      </c>
    </row>
    <row r="45" ht="15.75" customHeight="1">
      <c r="A45" s="26" t="s">
        <v>273</v>
      </c>
      <c r="B45" s="27" t="s">
        <v>312</v>
      </c>
      <c r="C45" s="28" t="s">
        <v>275</v>
      </c>
      <c r="D45" s="13" t="s">
        <v>313</v>
      </c>
      <c r="E45" s="13" t="s">
        <v>314</v>
      </c>
      <c r="F45" s="13" t="s">
        <v>315</v>
      </c>
      <c r="G45" s="13" t="s">
        <v>316</v>
      </c>
      <c r="H45" s="13" t="s">
        <v>317</v>
      </c>
      <c r="I45" s="29" t="s">
        <v>123</v>
      </c>
      <c r="J45" s="30">
        <v>9.2</v>
      </c>
    </row>
    <row r="46" ht="15.75" customHeight="1">
      <c r="A46" s="26" t="s">
        <v>273</v>
      </c>
      <c r="B46" s="27" t="s">
        <v>318</v>
      </c>
      <c r="C46" s="28" t="s">
        <v>275</v>
      </c>
      <c r="D46" s="13" t="s">
        <v>319</v>
      </c>
      <c r="E46" s="13" t="s">
        <v>320</v>
      </c>
      <c r="F46" s="13" t="s">
        <v>321</v>
      </c>
      <c r="G46" s="13" t="s">
        <v>322</v>
      </c>
      <c r="H46" s="13" t="s">
        <v>323</v>
      </c>
      <c r="I46" s="29" t="s">
        <v>171</v>
      </c>
      <c r="J46" s="30">
        <v>9.6</v>
      </c>
    </row>
    <row r="47" ht="15.75" customHeight="1">
      <c r="A47" s="26" t="s">
        <v>273</v>
      </c>
      <c r="B47" s="27" t="s">
        <v>324</v>
      </c>
      <c r="C47" s="28" t="s">
        <v>325</v>
      </c>
      <c r="D47" s="13" t="s">
        <v>326</v>
      </c>
      <c r="E47" s="13" t="s">
        <v>327</v>
      </c>
      <c r="F47" s="13" t="s">
        <v>328</v>
      </c>
      <c r="G47" s="13" t="s">
        <v>329</v>
      </c>
      <c r="H47" s="13" t="s">
        <v>330</v>
      </c>
      <c r="I47" s="29" t="s">
        <v>116</v>
      </c>
      <c r="J47" s="30">
        <v>9.8</v>
      </c>
    </row>
    <row r="48" ht="15.75" customHeight="1">
      <c r="A48" s="26" t="s">
        <v>273</v>
      </c>
      <c r="B48" s="27" t="s">
        <v>331</v>
      </c>
      <c r="C48" s="28" t="s">
        <v>325</v>
      </c>
      <c r="D48" s="13" t="s">
        <v>332</v>
      </c>
      <c r="E48" s="13" t="s">
        <v>333</v>
      </c>
      <c r="F48" s="13" t="s">
        <v>334</v>
      </c>
      <c r="G48" s="13" t="s">
        <v>335</v>
      </c>
      <c r="H48" s="13" t="s">
        <v>336</v>
      </c>
      <c r="I48" s="29" t="s">
        <v>109</v>
      </c>
      <c r="J48" s="30">
        <v>9.7</v>
      </c>
    </row>
    <row r="49" ht="15.75" customHeight="1">
      <c r="A49" s="26" t="s">
        <v>273</v>
      </c>
      <c r="B49" s="27" t="s">
        <v>337</v>
      </c>
      <c r="C49" s="28" t="s">
        <v>325</v>
      </c>
      <c r="D49" s="13" t="s">
        <v>338</v>
      </c>
      <c r="E49" s="13" t="s">
        <v>339</v>
      </c>
      <c r="F49" s="13" t="s">
        <v>340</v>
      </c>
      <c r="G49" s="13" t="s">
        <v>341</v>
      </c>
      <c r="H49" s="13" t="s">
        <v>342</v>
      </c>
      <c r="I49" s="29" t="s">
        <v>109</v>
      </c>
      <c r="J49" s="30">
        <v>9.9</v>
      </c>
    </row>
    <row r="50" ht="15.75" customHeight="1">
      <c r="A50" s="26" t="s">
        <v>273</v>
      </c>
      <c r="B50" s="27" t="s">
        <v>343</v>
      </c>
      <c r="C50" s="28" t="s">
        <v>325</v>
      </c>
      <c r="D50" s="13" t="s">
        <v>344</v>
      </c>
      <c r="E50" s="13" t="s">
        <v>345</v>
      </c>
      <c r="F50" s="13" t="s">
        <v>346</v>
      </c>
      <c r="G50" s="13" t="s">
        <v>347</v>
      </c>
      <c r="H50" s="13" t="s">
        <v>348</v>
      </c>
      <c r="I50" s="29" t="s">
        <v>158</v>
      </c>
      <c r="J50" s="30">
        <v>9.5</v>
      </c>
    </row>
    <row r="51" ht="15.75" customHeight="1">
      <c r="A51" s="26" t="s">
        <v>273</v>
      </c>
      <c r="B51" s="27" t="s">
        <v>349</v>
      </c>
      <c r="C51" s="28" t="s">
        <v>325</v>
      </c>
      <c r="D51" s="13" t="s">
        <v>350</v>
      </c>
      <c r="E51" s="13" t="s">
        <v>351</v>
      </c>
      <c r="F51" s="13" t="s">
        <v>352</v>
      </c>
      <c r="G51" s="13" t="s">
        <v>353</v>
      </c>
      <c r="H51" s="13" t="s">
        <v>354</v>
      </c>
      <c r="I51" s="29" t="s">
        <v>116</v>
      </c>
      <c r="J51" s="30">
        <v>9.6</v>
      </c>
    </row>
    <row r="52" ht="15.75" customHeight="1">
      <c r="A52" s="26" t="s">
        <v>273</v>
      </c>
      <c r="B52" s="27" t="s">
        <v>355</v>
      </c>
      <c r="C52" s="28" t="s">
        <v>325</v>
      </c>
      <c r="D52" s="13" t="s">
        <v>356</v>
      </c>
      <c r="E52" s="13" t="s">
        <v>357</v>
      </c>
      <c r="F52" s="13" t="s">
        <v>47</v>
      </c>
      <c r="G52" s="13" t="s">
        <v>358</v>
      </c>
      <c r="H52" s="13" t="s">
        <v>359</v>
      </c>
      <c r="I52" s="29" t="s">
        <v>171</v>
      </c>
      <c r="J52" s="30">
        <v>9.7</v>
      </c>
    </row>
    <row r="53" ht="15.75" customHeight="1">
      <c r="A53" s="20" t="s">
        <v>360</v>
      </c>
      <c r="B53" s="21" t="s">
        <v>361</v>
      </c>
      <c r="C53" s="22" t="s">
        <v>22</v>
      </c>
      <c r="D53" s="23" t="s">
        <v>362</v>
      </c>
      <c r="E53" s="23" t="s">
        <v>363</v>
      </c>
      <c r="F53" s="23" t="s">
        <v>364</v>
      </c>
      <c r="G53" s="23" t="s">
        <v>365</v>
      </c>
      <c r="H53" s="23" t="s">
        <v>366</v>
      </c>
      <c r="I53" s="24" t="s">
        <v>367</v>
      </c>
      <c r="J53" s="25">
        <v>9.8</v>
      </c>
    </row>
    <row r="54" ht="15.75" customHeight="1">
      <c r="A54" s="20" t="s">
        <v>360</v>
      </c>
      <c r="B54" s="21" t="s">
        <v>368</v>
      </c>
      <c r="C54" s="22" t="s">
        <v>22</v>
      </c>
      <c r="D54" s="23" t="s">
        <v>369</v>
      </c>
      <c r="E54" s="23" t="s">
        <v>370</v>
      </c>
      <c r="F54" s="23" t="s">
        <v>371</v>
      </c>
      <c r="G54" s="23" t="s">
        <v>372</v>
      </c>
      <c r="H54" s="23" t="s">
        <v>373</v>
      </c>
      <c r="I54" s="24" t="s">
        <v>374</v>
      </c>
      <c r="J54" s="25">
        <v>9.6</v>
      </c>
    </row>
    <row r="55" ht="15.75" customHeight="1">
      <c r="A55" s="20" t="s">
        <v>360</v>
      </c>
      <c r="B55" s="21" t="s">
        <v>375</v>
      </c>
      <c r="C55" s="22" t="s">
        <v>22</v>
      </c>
      <c r="D55" s="23" t="s">
        <v>376</v>
      </c>
      <c r="E55" s="23" t="s">
        <v>377</v>
      </c>
      <c r="F55" s="23" t="s">
        <v>378</v>
      </c>
      <c r="G55" s="23" t="s">
        <v>379</v>
      </c>
      <c r="H55" s="23" t="s">
        <v>380</v>
      </c>
      <c r="I55" s="24" t="s">
        <v>266</v>
      </c>
      <c r="J55" s="25">
        <v>9.5</v>
      </c>
    </row>
    <row r="56" ht="15.75" customHeight="1">
      <c r="A56" s="20" t="s">
        <v>360</v>
      </c>
      <c r="B56" s="21" t="s">
        <v>381</v>
      </c>
      <c r="C56" s="22" t="s">
        <v>22</v>
      </c>
      <c r="D56" s="23" t="s">
        <v>382</v>
      </c>
      <c r="E56" s="23" t="s">
        <v>383</v>
      </c>
      <c r="F56" s="23" t="s">
        <v>384</v>
      </c>
      <c r="G56" s="23" t="s">
        <v>385</v>
      </c>
      <c r="H56" s="23" t="s">
        <v>386</v>
      </c>
      <c r="I56" s="24" t="s">
        <v>185</v>
      </c>
      <c r="J56" s="25">
        <v>9.3</v>
      </c>
    </row>
    <row r="57" ht="15.75" customHeight="1">
      <c r="A57" s="20" t="s">
        <v>360</v>
      </c>
      <c r="B57" s="21" t="s">
        <v>387</v>
      </c>
      <c r="C57" s="22" t="s">
        <v>22</v>
      </c>
      <c r="D57" s="23" t="s">
        <v>388</v>
      </c>
      <c r="E57" s="23" t="s">
        <v>389</v>
      </c>
      <c r="F57" s="23" t="s">
        <v>390</v>
      </c>
      <c r="G57" s="23" t="s">
        <v>391</v>
      </c>
      <c r="H57" s="23" t="s">
        <v>392</v>
      </c>
      <c r="I57" s="24" t="s">
        <v>109</v>
      </c>
      <c r="J57" s="25">
        <v>9.4</v>
      </c>
    </row>
    <row r="58" ht="15.75" customHeight="1">
      <c r="A58" s="20" t="s">
        <v>360</v>
      </c>
      <c r="B58" s="21" t="s">
        <v>393</v>
      </c>
      <c r="C58" s="22" t="s">
        <v>22</v>
      </c>
      <c r="D58" s="23" t="s">
        <v>394</v>
      </c>
      <c r="E58" s="23" t="s">
        <v>395</v>
      </c>
      <c r="F58" s="23" t="s">
        <v>396</v>
      </c>
      <c r="G58" s="23" t="s">
        <v>397</v>
      </c>
      <c r="H58" s="23" t="s">
        <v>398</v>
      </c>
      <c r="I58" s="24" t="s">
        <v>75</v>
      </c>
      <c r="J58" s="25">
        <v>9.3</v>
      </c>
    </row>
    <row r="59" ht="15.75" customHeight="1">
      <c r="A59" s="20" t="s">
        <v>360</v>
      </c>
      <c r="B59" s="21" t="s">
        <v>399</v>
      </c>
      <c r="C59" s="22" t="s">
        <v>22</v>
      </c>
      <c r="D59" s="23" t="s">
        <v>400</v>
      </c>
      <c r="E59" s="23" t="s">
        <v>401</v>
      </c>
      <c r="F59" s="23" t="s">
        <v>402</v>
      </c>
      <c r="G59" s="23" t="s">
        <v>403</v>
      </c>
      <c r="H59" s="23" t="s">
        <v>404</v>
      </c>
      <c r="I59" s="24" t="s">
        <v>130</v>
      </c>
      <c r="J59" s="25">
        <v>9.7</v>
      </c>
    </row>
    <row r="60" ht="15.75" customHeight="1">
      <c r="A60" s="26" t="s">
        <v>405</v>
      </c>
      <c r="B60" s="27" t="s">
        <v>406</v>
      </c>
      <c r="C60" s="28" t="s">
        <v>407</v>
      </c>
      <c r="D60" s="13" t="s">
        <v>408</v>
      </c>
      <c r="E60" s="13" t="s">
        <v>409</v>
      </c>
      <c r="F60" s="13" t="s">
        <v>410</v>
      </c>
      <c r="G60" s="13" t="s">
        <v>411</v>
      </c>
      <c r="H60" s="13" t="s">
        <v>412</v>
      </c>
      <c r="I60" s="29" t="s">
        <v>123</v>
      </c>
      <c r="J60" s="30">
        <v>9.7</v>
      </c>
    </row>
    <row r="61" ht="15.75" customHeight="1">
      <c r="A61" s="26" t="s">
        <v>405</v>
      </c>
      <c r="B61" s="27" t="s">
        <v>413</v>
      </c>
      <c r="C61" s="28" t="s">
        <v>407</v>
      </c>
      <c r="D61" s="13" t="s">
        <v>414</v>
      </c>
      <c r="E61" s="13" t="s">
        <v>415</v>
      </c>
      <c r="F61" s="13" t="s">
        <v>416</v>
      </c>
      <c r="G61" s="13" t="s">
        <v>417</v>
      </c>
      <c r="H61" s="13" t="s">
        <v>418</v>
      </c>
      <c r="I61" s="29" t="s">
        <v>116</v>
      </c>
      <c r="J61" s="30">
        <v>9.8</v>
      </c>
    </row>
    <row r="62" ht="15.75" customHeight="1">
      <c r="A62" s="26" t="s">
        <v>405</v>
      </c>
      <c r="B62" s="27" t="s">
        <v>419</v>
      </c>
      <c r="C62" s="28" t="s">
        <v>407</v>
      </c>
      <c r="D62" s="13" t="s">
        <v>420</v>
      </c>
      <c r="E62" s="13" t="s">
        <v>421</v>
      </c>
      <c r="F62" s="13" t="s">
        <v>422</v>
      </c>
      <c r="G62" s="13" t="s">
        <v>423</v>
      </c>
      <c r="H62" s="13" t="s">
        <v>424</v>
      </c>
      <c r="I62" s="29" t="s">
        <v>425</v>
      </c>
      <c r="J62" s="30">
        <v>9.4</v>
      </c>
    </row>
    <row r="63" ht="15.75" customHeight="1">
      <c r="A63" s="26" t="s">
        <v>405</v>
      </c>
      <c r="B63" s="27" t="s">
        <v>426</v>
      </c>
      <c r="C63" s="28" t="s">
        <v>407</v>
      </c>
      <c r="D63" s="13" t="s">
        <v>427</v>
      </c>
      <c r="E63" s="13" t="s">
        <v>428</v>
      </c>
      <c r="F63" s="13" t="s">
        <v>429</v>
      </c>
      <c r="G63" s="13" t="s">
        <v>430</v>
      </c>
      <c r="H63" s="13" t="s">
        <v>431</v>
      </c>
      <c r="I63" s="29" t="s">
        <v>116</v>
      </c>
      <c r="J63" s="30">
        <v>9.9</v>
      </c>
    </row>
    <row r="64" ht="15.75" customHeight="1">
      <c r="A64" s="26" t="s">
        <v>405</v>
      </c>
      <c r="B64" s="27" t="s">
        <v>432</v>
      </c>
      <c r="C64" s="28" t="s">
        <v>407</v>
      </c>
      <c r="D64" s="13" t="s">
        <v>433</v>
      </c>
      <c r="E64" s="13" t="s">
        <v>434</v>
      </c>
      <c r="F64" s="13" t="s">
        <v>435</v>
      </c>
      <c r="G64" s="13" t="s">
        <v>436</v>
      </c>
      <c r="H64" s="13" t="s">
        <v>437</v>
      </c>
      <c r="I64" s="29" t="s">
        <v>63</v>
      </c>
      <c r="J64" s="30">
        <v>9.5</v>
      </c>
    </row>
    <row r="65" ht="15.75" customHeight="1">
      <c r="A65" s="26" t="s">
        <v>405</v>
      </c>
      <c r="B65" s="27" t="s">
        <v>438</v>
      </c>
      <c r="C65" s="28" t="s">
        <v>407</v>
      </c>
      <c r="D65" s="13" t="s">
        <v>439</v>
      </c>
      <c r="E65" s="13" t="s">
        <v>440</v>
      </c>
      <c r="F65" s="13" t="s">
        <v>441</v>
      </c>
      <c r="G65" s="13" t="s">
        <v>442</v>
      </c>
      <c r="H65" s="13" t="s">
        <v>443</v>
      </c>
      <c r="I65" s="29" t="s">
        <v>109</v>
      </c>
      <c r="J65" s="30">
        <v>9.6</v>
      </c>
    </row>
    <row r="66" ht="15.75" customHeight="1">
      <c r="A66" s="26" t="s">
        <v>405</v>
      </c>
      <c r="B66" s="27" t="s">
        <v>444</v>
      </c>
      <c r="C66" s="28" t="s">
        <v>407</v>
      </c>
      <c r="D66" s="13" t="s">
        <v>445</v>
      </c>
      <c r="E66" s="13" t="s">
        <v>446</v>
      </c>
      <c r="F66" s="13" t="s">
        <v>447</v>
      </c>
      <c r="G66" s="13" t="s">
        <v>448</v>
      </c>
      <c r="H66" s="13" t="s">
        <v>449</v>
      </c>
      <c r="I66" s="29" t="s">
        <v>158</v>
      </c>
      <c r="J66" s="30">
        <v>9.4</v>
      </c>
    </row>
    <row r="67" ht="15.75" customHeight="1">
      <c r="A67" s="26" t="s">
        <v>405</v>
      </c>
      <c r="B67" s="27" t="s">
        <v>450</v>
      </c>
      <c r="C67" s="28" t="s">
        <v>407</v>
      </c>
      <c r="D67" s="13" t="s">
        <v>451</v>
      </c>
      <c r="E67" s="13" t="s">
        <v>452</v>
      </c>
      <c r="F67" s="13" t="s">
        <v>453</v>
      </c>
      <c r="G67" s="13" t="s">
        <v>454</v>
      </c>
      <c r="H67" s="13" t="s">
        <v>455</v>
      </c>
      <c r="I67" s="29" t="s">
        <v>266</v>
      </c>
      <c r="J67" s="30">
        <v>9.5</v>
      </c>
    </row>
    <row r="68" ht="15.75" customHeight="1">
      <c r="A68" s="26" t="s">
        <v>405</v>
      </c>
      <c r="B68" s="27" t="s">
        <v>456</v>
      </c>
      <c r="C68" s="28" t="s">
        <v>457</v>
      </c>
      <c r="D68" s="13" t="s">
        <v>458</v>
      </c>
      <c r="E68" s="13" t="s">
        <v>459</v>
      </c>
      <c r="F68" s="13" t="s">
        <v>460</v>
      </c>
      <c r="G68" s="13" t="s">
        <v>461</v>
      </c>
      <c r="H68" s="13" t="s">
        <v>462</v>
      </c>
      <c r="I68" s="29" t="s">
        <v>158</v>
      </c>
      <c r="J68" s="30">
        <v>9.6</v>
      </c>
    </row>
    <row r="69" ht="15.75" customHeight="1">
      <c r="A69" s="26" t="s">
        <v>405</v>
      </c>
      <c r="B69" s="27" t="s">
        <v>463</v>
      </c>
      <c r="C69" s="28" t="s">
        <v>457</v>
      </c>
      <c r="D69" s="13" t="s">
        <v>464</v>
      </c>
      <c r="E69" s="13" t="s">
        <v>465</v>
      </c>
      <c r="F69" s="13" t="s">
        <v>466</v>
      </c>
      <c r="G69" s="13" t="s">
        <v>467</v>
      </c>
      <c r="H69" s="13" t="s">
        <v>468</v>
      </c>
      <c r="I69" s="29" t="s">
        <v>469</v>
      </c>
      <c r="J69" s="30">
        <v>9.9</v>
      </c>
    </row>
    <row r="70" ht="15.75" customHeight="1">
      <c r="A70" s="26" t="s">
        <v>405</v>
      </c>
      <c r="B70" s="27" t="s">
        <v>470</v>
      </c>
      <c r="C70" s="28" t="s">
        <v>457</v>
      </c>
      <c r="D70" s="13" t="s">
        <v>471</v>
      </c>
      <c r="E70" s="13" t="s">
        <v>472</v>
      </c>
      <c r="F70" s="13" t="s">
        <v>473</v>
      </c>
      <c r="G70" s="13" t="s">
        <v>474</v>
      </c>
      <c r="H70" s="13" t="s">
        <v>475</v>
      </c>
      <c r="I70" s="29" t="s">
        <v>123</v>
      </c>
      <c r="J70" s="30">
        <v>9.5</v>
      </c>
    </row>
    <row r="71" ht="15.75" customHeight="1">
      <c r="A71" s="26" t="s">
        <v>405</v>
      </c>
      <c r="B71" s="27" t="s">
        <v>476</v>
      </c>
      <c r="C71" s="28" t="s">
        <v>457</v>
      </c>
      <c r="D71" s="13" t="s">
        <v>477</v>
      </c>
      <c r="E71" s="13" t="s">
        <v>478</v>
      </c>
      <c r="F71" s="13" t="s">
        <v>250</v>
      </c>
      <c r="G71" s="13" t="s">
        <v>479</v>
      </c>
      <c r="H71" s="13" t="s">
        <v>480</v>
      </c>
      <c r="I71" s="29" t="s">
        <v>481</v>
      </c>
      <c r="J71" s="30">
        <v>9.7</v>
      </c>
    </row>
    <row r="72" ht="15.75" customHeight="1">
      <c r="A72" s="26" t="s">
        <v>405</v>
      </c>
      <c r="B72" s="27" t="s">
        <v>482</v>
      </c>
      <c r="C72" s="28" t="s">
        <v>457</v>
      </c>
      <c r="D72" s="13" t="s">
        <v>483</v>
      </c>
      <c r="E72" s="13" t="s">
        <v>484</v>
      </c>
      <c r="F72" s="13" t="s">
        <v>485</v>
      </c>
      <c r="G72" s="13" t="s">
        <v>486</v>
      </c>
      <c r="H72" s="13" t="s">
        <v>487</v>
      </c>
      <c r="I72" s="29" t="s">
        <v>253</v>
      </c>
      <c r="J72" s="30">
        <v>9.6</v>
      </c>
    </row>
    <row r="73" ht="15.75" customHeight="1">
      <c r="A73" s="20" t="s">
        <v>488</v>
      </c>
      <c r="B73" s="21" t="s">
        <v>489</v>
      </c>
      <c r="C73" s="22" t="s">
        <v>30</v>
      </c>
      <c r="D73" s="23" t="s">
        <v>490</v>
      </c>
      <c r="E73" s="23" t="s">
        <v>491</v>
      </c>
      <c r="F73" s="23" t="s">
        <v>492</v>
      </c>
      <c r="G73" s="23" t="s">
        <v>493</v>
      </c>
      <c r="H73" s="23" t="s">
        <v>494</v>
      </c>
      <c r="I73" s="24" t="s">
        <v>495</v>
      </c>
      <c r="J73" s="25">
        <v>9.5</v>
      </c>
    </row>
    <row r="74" ht="15.75" customHeight="1">
      <c r="A74" s="20" t="s">
        <v>488</v>
      </c>
      <c r="B74" s="21" t="s">
        <v>496</v>
      </c>
      <c r="C74" s="22" t="s">
        <v>30</v>
      </c>
      <c r="D74" s="23" t="s">
        <v>497</v>
      </c>
      <c r="E74" s="23" t="s">
        <v>498</v>
      </c>
      <c r="F74" s="23" t="s">
        <v>429</v>
      </c>
      <c r="G74" s="23" t="s">
        <v>499</v>
      </c>
      <c r="H74" s="23" t="s">
        <v>500</v>
      </c>
      <c r="I74" s="24" t="s">
        <v>232</v>
      </c>
      <c r="J74" s="25">
        <v>9.6</v>
      </c>
    </row>
    <row r="75" ht="15.75" customHeight="1">
      <c r="A75" s="20" t="s">
        <v>488</v>
      </c>
      <c r="B75" s="21" t="s">
        <v>501</v>
      </c>
      <c r="C75" s="22" t="s">
        <v>30</v>
      </c>
      <c r="D75" s="23" t="s">
        <v>502</v>
      </c>
      <c r="E75" s="23" t="s">
        <v>503</v>
      </c>
      <c r="F75" s="23" t="s">
        <v>504</v>
      </c>
      <c r="G75" s="23" t="s">
        <v>505</v>
      </c>
      <c r="H75" s="23" t="s">
        <v>506</v>
      </c>
      <c r="I75" s="24" t="s">
        <v>158</v>
      </c>
      <c r="J75" s="25">
        <v>9.4</v>
      </c>
    </row>
    <row r="76" ht="15.75" customHeight="1">
      <c r="A76" s="20" t="s">
        <v>488</v>
      </c>
      <c r="B76" s="21" t="s">
        <v>507</v>
      </c>
      <c r="C76" s="22" t="s">
        <v>30</v>
      </c>
      <c r="D76" s="23" t="s">
        <v>508</v>
      </c>
      <c r="E76" s="23" t="s">
        <v>509</v>
      </c>
      <c r="F76" s="23" t="s">
        <v>510</v>
      </c>
      <c r="G76" s="23" t="s">
        <v>511</v>
      </c>
      <c r="H76" s="23" t="s">
        <v>512</v>
      </c>
      <c r="I76" s="24" t="s">
        <v>63</v>
      </c>
      <c r="J76" s="25">
        <v>9.2</v>
      </c>
    </row>
    <row r="77" ht="15.75" customHeight="1">
      <c r="A77" s="20" t="s">
        <v>488</v>
      </c>
      <c r="B77" s="21" t="s">
        <v>513</v>
      </c>
      <c r="C77" s="22" t="s">
        <v>30</v>
      </c>
      <c r="D77" s="23" t="s">
        <v>514</v>
      </c>
      <c r="E77" s="23" t="s">
        <v>515</v>
      </c>
      <c r="F77" s="23" t="s">
        <v>516</v>
      </c>
      <c r="G77" s="23" t="s">
        <v>517</v>
      </c>
      <c r="H77" s="23" t="s">
        <v>518</v>
      </c>
      <c r="I77" s="24" t="s">
        <v>266</v>
      </c>
      <c r="J77" s="25">
        <v>9.5</v>
      </c>
    </row>
    <row r="78" ht="15.75" customHeight="1">
      <c r="A78" s="20" t="s">
        <v>488</v>
      </c>
      <c r="B78" s="21" t="s">
        <v>519</v>
      </c>
      <c r="C78" s="22" t="s">
        <v>30</v>
      </c>
      <c r="D78" s="23" t="s">
        <v>520</v>
      </c>
      <c r="E78" s="23" t="s">
        <v>521</v>
      </c>
      <c r="F78" s="23" t="s">
        <v>522</v>
      </c>
      <c r="G78" s="23" t="s">
        <v>523</v>
      </c>
      <c r="H78" s="23" t="s">
        <v>524</v>
      </c>
      <c r="I78" s="24" t="s">
        <v>178</v>
      </c>
      <c r="J78" s="25">
        <v>9.4</v>
      </c>
    </row>
    <row r="79" ht="15.75" customHeight="1">
      <c r="A79" s="20" t="s">
        <v>488</v>
      </c>
      <c r="B79" s="21" t="s">
        <v>525</v>
      </c>
      <c r="C79" s="22" t="s">
        <v>30</v>
      </c>
      <c r="D79" s="23" t="s">
        <v>526</v>
      </c>
      <c r="E79" s="23" t="s">
        <v>527</v>
      </c>
      <c r="F79" s="23" t="s">
        <v>528</v>
      </c>
      <c r="G79" s="23" t="s">
        <v>529</v>
      </c>
      <c r="H79" s="23" t="s">
        <v>530</v>
      </c>
      <c r="I79" s="24" t="s">
        <v>63</v>
      </c>
      <c r="J79" s="25">
        <v>9.6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J$79"/>
  <mergeCells count="1">
    <mergeCell ref="A1:J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14.0"/>
    <col customWidth="1" min="3" max="3" width="16.0"/>
    <col customWidth="1" min="4" max="26" width="8.71"/>
  </cols>
  <sheetData>
    <row r="1" ht="15.75" customHeight="1">
      <c r="A1" s="17" t="s">
        <v>531</v>
      </c>
      <c r="B1" s="2"/>
      <c r="C1" s="3"/>
    </row>
    <row r="2" ht="15.75" customHeight="1">
      <c r="A2" s="4"/>
      <c r="B2" s="5"/>
      <c r="C2" s="6"/>
    </row>
    <row r="4" ht="25.5" customHeight="1">
      <c r="A4" s="31"/>
      <c r="B4" s="31"/>
      <c r="C4" s="31"/>
    </row>
    <row r="5">
      <c r="A5" s="32" t="s">
        <v>42</v>
      </c>
      <c r="B5" s="33">
        <f>COUNTIF('Dataset Theo Nhu Cầu'!$A$5:$A$79,A5)</f>
        <v>13</v>
      </c>
      <c r="C5" s="34">
        <f>ROUND(AVERAGEIF('Dataset Theo Nhu Cầu'!$A$5:$A$79,A5,'Dataset Theo Nhu Cầu'!$J$5:$J$79),2)</f>
        <v>9.45</v>
      </c>
    </row>
    <row r="6">
      <c r="A6" s="35" t="s">
        <v>131</v>
      </c>
      <c r="B6" s="36">
        <f>COUNTIF('Dataset Theo Nhu Cầu'!$A$5:$A$79,A6)</f>
        <v>8</v>
      </c>
      <c r="C6" s="37">
        <f>ROUND(AVERAGEIF('Dataset Theo Nhu Cầu'!$A$5:$A$79,A6,'Dataset Theo Nhu Cầu'!$J$5:$J$79),2)</f>
        <v>9.54</v>
      </c>
    </row>
    <row r="7">
      <c r="A7" s="32" t="s">
        <v>186</v>
      </c>
      <c r="B7" s="33">
        <f>COUNTIF('Dataset Theo Nhu Cầu'!$A$5:$A$79,A7)</f>
        <v>13</v>
      </c>
      <c r="C7" s="34">
        <f>ROUND(AVERAGEIF('Dataset Theo Nhu Cầu'!$A$5:$A$79,A7,'Dataset Theo Nhu Cầu'!$J$5:$J$79),2)</f>
        <v>9.54</v>
      </c>
    </row>
    <row r="8">
      <c r="A8" s="35" t="s">
        <v>273</v>
      </c>
      <c r="B8" s="36">
        <f>COUNTIF('Dataset Theo Nhu Cầu'!$A$5:$A$79,A8)</f>
        <v>14</v>
      </c>
      <c r="C8" s="37">
        <f>ROUND(AVERAGEIF('Dataset Theo Nhu Cầu'!$A$5:$A$79,A8,'Dataset Theo Nhu Cầu'!$J$5:$J$79),2)</f>
        <v>9.49</v>
      </c>
    </row>
    <row r="9">
      <c r="A9" s="32" t="s">
        <v>360</v>
      </c>
      <c r="B9" s="33">
        <f>COUNTIF('Dataset Theo Nhu Cầu'!$A$5:$A$79,A9)</f>
        <v>7</v>
      </c>
      <c r="C9" s="34">
        <f>ROUND(AVERAGEIF('Dataset Theo Nhu Cầu'!$A$5:$A$79,A9,'Dataset Theo Nhu Cầu'!$J$5:$J$79),2)</f>
        <v>9.51</v>
      </c>
    </row>
    <row r="10">
      <c r="A10" s="35" t="s">
        <v>405</v>
      </c>
      <c r="B10" s="36">
        <f>COUNTIF('Dataset Theo Nhu Cầu'!$A$5:$A$79,A10)</f>
        <v>13</v>
      </c>
      <c r="C10" s="37">
        <f>ROUND(AVERAGEIF('Dataset Theo Nhu Cầu'!$A$5:$A$79,A10,'Dataset Theo Nhu Cầu'!$J$5:$J$79),2)</f>
        <v>9.62</v>
      </c>
    </row>
    <row r="11">
      <c r="A11" s="32" t="s">
        <v>488</v>
      </c>
      <c r="B11" s="33">
        <f>COUNTIF('Dataset Theo Nhu Cầu'!$A$5:$A$79,A11)</f>
        <v>7</v>
      </c>
      <c r="C11" s="34">
        <f>ROUND(AVERAGEIF('Dataset Theo Nhu Cầu'!$A$5:$A$79,A11,'Dataset Theo Nhu Cầu'!$J$5:$J$79),2)</f>
        <v>9.46</v>
      </c>
    </row>
    <row r="12">
      <c r="A12" s="38" t="s">
        <v>532</v>
      </c>
      <c r="B12" s="31">
        <f>SUM(B5:B11)</f>
        <v>75</v>
      </c>
      <c r="C12" s="39">
        <f>ROUND(AVERAGE('Dataset Theo Nhu Cầu'!$J$5:$J$79),2)</f>
        <v>9.52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2"/>
  </mergeCells>
  <printOptions/>
  <pageMargins bottom="1.0" footer="0.0" header="0.0" left="0.75" right="0.75" top="1.0"/>
  <pageSetup paperSize="9" orientation="portrait"/>
  <drawing r:id="rId1"/>
</worksheet>
</file>